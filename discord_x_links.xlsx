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 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3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5" customWidth="1" min="3" max="3"/>
    <col width="50" customWidth="1" min="4" max="4"/>
  </cols>
  <sheetData>
    <row r="1">
      <c r="A1" t="inlineStr">
        <is>
          <t>Username</t>
        </is>
      </c>
      <c r="B1" t="inlineStr">
        <is>
          <t>User ID</t>
        </is>
      </c>
      <c r="C1" t="inlineStr">
        <is>
          <t>Timestamp</t>
        </is>
      </c>
      <c r="D1" t="inlineStr">
        <is>
          <t>Hyperlink</t>
        </is>
      </c>
    </row>
    <row r="2">
      <c r="A2" t="inlineStr">
        <is>
          <t>mektani#0</t>
        </is>
      </c>
      <c r="B2" t="inlineStr">
        <is>
          <t>703678102034841630</t>
        </is>
      </c>
      <c r="C2" t="inlineStr">
        <is>
          <t>2025-11-08 12:05:27</t>
        </is>
      </c>
      <c r="D2">
        <f>HYPERLINK("https://x.com/OxMektani/status/1986748246677389780", "https://x.com/OxMektani/status/1986748246677389780")</f>
        <v/>
      </c>
    </row>
    <row r="3">
      <c r="A3" t="inlineStr">
        <is>
          <t>philipalpha#0</t>
        </is>
      </c>
      <c r="B3" t="inlineStr">
        <is>
          <t>945663306285346876</t>
        </is>
      </c>
      <c r="C3" t="inlineStr">
        <is>
          <t>2025-11-08 12:09:13</t>
        </is>
      </c>
      <c r="D3">
        <f>HYPERLINK("https://x.com/PhilipAkpamgbo/status/1986694957491503116", "https://x.com/PhilipAkpamgbo/status/1986694957491503116")</f>
        <v/>
      </c>
    </row>
    <row r="4">
      <c r="A4" t="inlineStr">
        <is>
          <t>edmund.735#0</t>
        </is>
      </c>
      <c r="B4" t="inlineStr">
        <is>
          <t>1301906504965951569</t>
        </is>
      </c>
      <c r="C4" t="inlineStr">
        <is>
          <t>2025-11-08 12:09:39</t>
        </is>
      </c>
      <c r="D4">
        <f>HYPERLINK("https://x.com/k3331010/status/1987071702086656181?s=20", "https://x.com/k3331010/status/1987071702086656181?s=20")</f>
        <v/>
      </c>
    </row>
    <row r="5">
      <c r="A5" t="inlineStr">
        <is>
          <t>just_abdo__#0</t>
        </is>
      </c>
      <c r="B5" t="inlineStr">
        <is>
          <t>1240779050268753950</t>
        </is>
      </c>
      <c r="C5" t="inlineStr">
        <is>
          <t>2025-11-08 12:22:50</t>
        </is>
      </c>
      <c r="D5">
        <f>HYPERLINK("https://x.com/just_abdo__/status/1986743243569070387?s=46", "https://x.com/just_abdo__/status/1986743243569070387?s=46")</f>
        <v/>
      </c>
    </row>
    <row r="6">
      <c r="A6" t="inlineStr">
        <is>
          <t>riehann10#0</t>
        </is>
      </c>
      <c r="B6" t="inlineStr">
        <is>
          <t>588339660829360149</t>
        </is>
      </c>
      <c r="C6" t="inlineStr">
        <is>
          <t>2025-11-08 12:28:39</t>
        </is>
      </c>
      <c r="D6">
        <f>HYPERLINK("https://x.com/riehann10/status/1986950355918442947?s=20", "https://x.com/riehann10/status/1986950355918442947?s=20")</f>
        <v/>
      </c>
    </row>
    <row r="7">
      <c r="A7" t="inlineStr">
        <is>
          <t>aamai3654#0</t>
        </is>
      </c>
      <c r="B7" t="inlineStr">
        <is>
          <t>1152426591197081681</t>
        </is>
      </c>
      <c r="C7" t="inlineStr">
        <is>
          <t>2025-11-08 12:29:43</t>
        </is>
      </c>
      <c r="D7">
        <f>HYPERLINK("https://x.com/SUGE_NINGEN/status/1987049142888374417?s=20", "https://x.com/SUGE_NINGEN/status/1987049142888374417?s=20")</f>
        <v/>
      </c>
    </row>
    <row r="8">
      <c r="A8" t="inlineStr">
        <is>
          <t>palancard#0</t>
        </is>
      </c>
      <c r="B8" t="inlineStr">
        <is>
          <t>315884356952653844</t>
        </is>
      </c>
      <c r="C8" t="inlineStr">
        <is>
          <t>2025-11-08 12:38:11</t>
        </is>
      </c>
      <c r="D8">
        <f>HYPERLINK("https://x.com/Palancard/status/1985382958367228067", "https://x.com/Palancard/status/1985382958367228067")</f>
        <v/>
      </c>
    </row>
    <row r="9">
      <c r="A9" t="inlineStr">
        <is>
          <t>yaya13.13.#0</t>
        </is>
      </c>
      <c r="B9" t="inlineStr">
        <is>
          <t>822211981113163806</t>
        </is>
      </c>
      <c r="C9" t="inlineStr">
        <is>
          <t>2025-11-08 12:50:29</t>
        </is>
      </c>
      <c r="D9">
        <f>HYPERLINK("https://x.com/yayademars13/status/1986561650388791691?s=46", "https://x.com/yayademars13/status/1986561650388791691?s=46")</f>
        <v/>
      </c>
    </row>
    <row r="10">
      <c r="A10" t="inlineStr">
        <is>
          <t>jo_inweb3#0</t>
        </is>
      </c>
      <c r="B10" t="inlineStr">
        <is>
          <t>407994523591901194</t>
        </is>
      </c>
      <c r="C10" t="inlineStr">
        <is>
          <t>2025-11-08 12:54:19</t>
        </is>
      </c>
      <c r="D10">
        <f>HYPERLINK("https://x.com/Jo_InWeb3/status/1986904028559909176", "https://x.com/Jo_InWeb3/status/1986904028559909176")</f>
        <v/>
      </c>
    </row>
    <row r="11">
      <c r="A11" t="inlineStr">
        <is>
          <t>icon___000#0</t>
        </is>
      </c>
      <c r="B11" t="inlineStr">
        <is>
          <t>1403580938285350975</t>
        </is>
      </c>
      <c r="C11" t="inlineStr">
        <is>
          <t>2025-11-08 12:57:11</t>
        </is>
      </c>
      <c r="D11">
        <f>HYPERLINK("https://x.com/icon___000/status/1987037303630336087", "https://x.com/icon___000/status/1987037303630336087")</f>
        <v/>
      </c>
    </row>
    <row r="12">
      <c r="A12" t="inlineStr">
        <is>
          <t>yexino_#0</t>
        </is>
      </c>
      <c r="B12" t="inlineStr">
        <is>
          <t>1430601718022013009</t>
        </is>
      </c>
      <c r="C12" t="inlineStr">
        <is>
          <t>2025-11-08 12:57:44</t>
        </is>
      </c>
      <c r="D12">
        <f>HYPERLINK("https://x.com/yexino_/status/1987097119455416509", "https://x.com/yexino_/status/1987097119455416509")</f>
        <v/>
      </c>
    </row>
    <row r="13">
      <c r="A13" t="inlineStr">
        <is>
          <t>prodbycuebeats#0</t>
        </is>
      </c>
      <c r="B13" t="inlineStr">
        <is>
          <t>1208039726821670942</t>
        </is>
      </c>
      <c r="C13" t="inlineStr">
        <is>
          <t>2025-11-08 12:59:00</t>
        </is>
      </c>
      <c r="D13">
        <f>HYPERLINK("https://x.com/prodbycuebeats/status/1986375496066580673", "https://x.com/prodbycuebeats/status/1986375496066580673")</f>
        <v/>
      </c>
    </row>
    <row r="14">
      <c r="A14" t="inlineStr">
        <is>
          <t>nohak#0</t>
        </is>
      </c>
      <c r="B14" t="inlineStr">
        <is>
          <t>683027926744432680</t>
        </is>
      </c>
      <c r="C14" t="inlineStr">
        <is>
          <t>2025-11-08 13:00:37</t>
        </is>
      </c>
      <c r="D14">
        <f>HYPERLINK("https://x.com/crypto_nohak/status/1985331769319870722?s=46", "https://x.com/crypto_nohak/status/1985331769319870722?s=46")</f>
        <v/>
      </c>
    </row>
    <row r="15">
      <c r="A15" t="inlineStr">
        <is>
          <t>carameljoyyy#0</t>
        </is>
      </c>
      <c r="B15" t="inlineStr">
        <is>
          <t>1224606808287608832</t>
        </is>
      </c>
      <c r="C15" t="inlineStr">
        <is>
          <t>2025-11-08 13:01:03</t>
        </is>
      </c>
      <c r="D15">
        <f>HYPERLINK("https://x.com/carameljoyy/status/1986368642083074184", "https://x.com/carameljoyy/status/1986368642083074184")</f>
        <v/>
      </c>
    </row>
    <row r="16">
      <c r="A16" t="inlineStr">
        <is>
          <t>mynz.112#0</t>
        </is>
      </c>
      <c r="B16" t="inlineStr">
        <is>
          <t>920927710358958100</t>
        </is>
      </c>
      <c r="C16" t="inlineStr">
        <is>
          <t>2025-11-08 13:05:04</t>
        </is>
      </c>
      <c r="D16">
        <f>HYPERLINK("https://x.com/mynz_112/status/1987074661688213775?s=46", "https://x.com/mynz_112/status/1987074661688213775?s=46")</f>
        <v/>
      </c>
    </row>
    <row r="17">
      <c r="A17" t="inlineStr">
        <is>
          <t>web1992#0</t>
        </is>
      </c>
      <c r="B17" t="inlineStr">
        <is>
          <t>904626970661380156</t>
        </is>
      </c>
      <c r="C17" t="inlineStr">
        <is>
          <t>2025-11-08 13:10:09</t>
        </is>
      </c>
      <c r="D17">
        <f>HYPERLINK("https://x.com/xiaxiaoyu000/status/1987048029447463286?s=46", "https://x.com/xiaxiaoyu000/status/1987048029447463286?s=46")</f>
        <v/>
      </c>
    </row>
    <row r="18">
      <c r="A18" t="inlineStr">
        <is>
          <t>slumdog4912#0</t>
        </is>
      </c>
      <c r="B18" t="inlineStr">
        <is>
          <t>1092825455083659366</t>
        </is>
      </c>
      <c r="C18" t="inlineStr">
        <is>
          <t>2025-11-08 13:10:58</t>
        </is>
      </c>
      <c r="D18">
        <f>HYPERLINK("https://x.com/VzNewbie/status/1986630191628853460?t=YRSptgumLNTMdVGURhY-vQ&amp;s=19", "https://x.com/VzNewbie/status/1986630191628853460?t=YRSptgumLNTMdVGURhY-vQ&amp;s=19")</f>
        <v/>
      </c>
    </row>
    <row r="19">
      <c r="A19" t="inlineStr">
        <is>
          <t>katy_nova#0</t>
        </is>
      </c>
      <c r="B19" t="inlineStr">
        <is>
          <t>1047457909652607057</t>
        </is>
      </c>
      <c r="C19" t="inlineStr">
        <is>
          <t>2025-11-08 13:11:56</t>
        </is>
      </c>
      <c r="D19">
        <f>HYPERLINK("https://x.com/kratae168/status/1987073963089141780?s=46", "https://x.com/kratae168/status/1987073963089141780?s=46")</f>
        <v/>
      </c>
    </row>
    <row r="20">
      <c r="A20" t="inlineStr">
        <is>
          <t>sapiensp#0</t>
        </is>
      </c>
      <c r="B20" t="inlineStr">
        <is>
          <t>506479938904260608</t>
        </is>
      </c>
      <c r="C20" t="inlineStr">
        <is>
          <t>2025-11-08 13:12:16</t>
        </is>
      </c>
      <c r="D20">
        <f>HYPERLINK("https://x.com/0xsapiensp/status/1986843494091268588", "https://x.com/0xsapiensp/status/1986843494091268588")</f>
        <v/>
      </c>
    </row>
    <row r="21">
      <c r="A21" t="inlineStr">
        <is>
          <t>oleac#0</t>
        </is>
      </c>
      <c r="B21" t="inlineStr">
        <is>
          <t>382584762306396172</t>
        </is>
      </c>
      <c r="C21" t="inlineStr">
        <is>
          <t>2025-11-08 13:17:27</t>
        </is>
      </c>
      <c r="D21">
        <f>HYPERLINK("https://x.com/Oleac124/status/1986878938036236464", "https://x.com/Oleac124/status/1986878938036236464")</f>
        <v/>
      </c>
    </row>
    <row r="22">
      <c r="A22" t="inlineStr">
        <is>
          <t>skyfall_tk#0</t>
        </is>
      </c>
      <c r="B22" t="inlineStr">
        <is>
          <t>229772494951677952</t>
        </is>
      </c>
      <c r="C22" t="inlineStr">
        <is>
          <t>2025-11-08 13:17:34</t>
        </is>
      </c>
      <c r="D22">
        <f>HYPERLINK("https://x.com/ManRiraku/status/1986684508582912100", "https://x.com/ManRiraku/status/1986684508582912100")</f>
        <v/>
      </c>
    </row>
    <row r="23">
      <c r="A23" t="inlineStr">
        <is>
          <t>zoefunds#0</t>
        </is>
      </c>
      <c r="B23" t="inlineStr">
        <is>
          <t>839972846401880066</t>
        </is>
      </c>
      <c r="C23" t="inlineStr">
        <is>
          <t>2025-11-08 13:34:30</t>
        </is>
      </c>
      <c r="D23">
        <f>HYPERLINK("https://x.com/BardOfTheBlocks/status/1986774412344033559", "https://x.com/BardOfTheBlocks/status/1986774412344033559")</f>
        <v/>
      </c>
    </row>
    <row r="24">
      <c r="A24" t="inlineStr">
        <is>
          <t>lana_looks#0</t>
        </is>
      </c>
      <c r="B24" t="inlineStr">
        <is>
          <t>536739938641772556</t>
        </is>
      </c>
      <c r="C24" t="inlineStr">
        <is>
          <t>2025-11-08 13:37:32</t>
        </is>
      </c>
      <c r="D24">
        <f>HYPERLINK("https://x.com/lana_looks/status/1986063712999063773?t=FWJ7C_vszgarJMS_Yy3bOA&amp;s=19", "https://x.com/lana_looks/status/1986063712999063773?t=FWJ7C_vszgarJMS_Yy3bOA&amp;s=19")</f>
        <v/>
      </c>
    </row>
    <row r="25">
      <c r="A25" t="inlineStr">
        <is>
          <t>nickymouse#0</t>
        </is>
      </c>
      <c r="B25" t="inlineStr">
        <is>
          <t>323815164254093314</t>
        </is>
      </c>
      <c r="C25" t="inlineStr">
        <is>
          <t>2025-11-08 13:46:54</t>
        </is>
      </c>
      <c r="D25">
        <f>HYPERLINK("https://x.com/nicky_gmicc/status/1987109483122925825", "https://x.com/nicky_gmicc/status/1987109483122925825")</f>
        <v/>
      </c>
    </row>
    <row r="26">
      <c r="A26" t="inlineStr">
        <is>
          <t>yusukegung#0</t>
        </is>
      </c>
      <c r="B26" t="inlineStr">
        <is>
          <t>889464376078262302</t>
        </is>
      </c>
      <c r="C26" t="inlineStr">
        <is>
          <t>2025-11-08 13:55:23</t>
        </is>
      </c>
      <c r="D26">
        <f>HYPERLINK("https://x.com/yusukegung1/status/1987105905733996987", "https://x.com/yusukegung1/status/1987105905733996987")</f>
        <v/>
      </c>
    </row>
    <row r="27">
      <c r="A27" t="inlineStr">
        <is>
          <t>dashdot_1#0</t>
        </is>
      </c>
      <c r="B27" t="inlineStr">
        <is>
          <t>1299139505013522472</t>
        </is>
      </c>
      <c r="C27" t="inlineStr">
        <is>
          <t>2025-11-08 13:59:21</t>
        </is>
      </c>
      <c r="D27">
        <f>HYPERLINK("https://x.com/dashdot_1/status/1987111343967859045", "https://x.com/dashdot_1/status/1987111343967859045")</f>
        <v/>
      </c>
    </row>
    <row r="28">
      <c r="A28" t="inlineStr">
        <is>
          <t>aleksei_37821#0</t>
        </is>
      </c>
      <c r="B28" t="inlineStr">
        <is>
          <t>1421927262420336764</t>
        </is>
      </c>
      <c r="C28" t="inlineStr">
        <is>
          <t>2025-11-08 14:05:45</t>
        </is>
      </c>
      <c r="D28">
        <f>HYPERLINK("https://x.com/aliaksei_lab/status/1985616173824610561?s=46", "https://x.com/aliaksei_lab/status/1985616173824610561?s=46")</f>
        <v/>
      </c>
    </row>
    <row r="29">
      <c r="A29" t="inlineStr">
        <is>
          <t>xdzul221b#0</t>
        </is>
      </c>
      <c r="B29" t="inlineStr">
        <is>
          <t>605435913194962953</t>
        </is>
      </c>
      <c r="C29" t="inlineStr">
        <is>
          <t>2025-11-08 14:09:23</t>
        </is>
      </c>
      <c r="D29">
        <f>HYPERLINK("https://x.com/0xdzul99/status/1987113964074070285", "https://x.com/0xdzul99/status/1987113964074070285")</f>
        <v/>
      </c>
    </row>
    <row r="30">
      <c r="A30" t="inlineStr">
        <is>
          <t>kieutrinh2k3#0</t>
        </is>
      </c>
      <c r="B30" t="inlineStr">
        <is>
          <t>1407938411633049661</t>
        </is>
      </c>
      <c r="C30" t="inlineStr">
        <is>
          <t>2025-11-08 14:16:02</t>
        </is>
      </c>
      <c r="D30">
        <f>HYPERLINK("https://x.com/ktrinh2k3/status/1986773351327739985?s=46", "https://x.com/ktrinh2k3/status/1986773351327739985?s=46")</f>
        <v/>
      </c>
    </row>
    <row r="31">
      <c r="A31" t="inlineStr">
        <is>
          <t>mikaahell#0</t>
        </is>
      </c>
      <c r="B31" t="inlineStr">
        <is>
          <t>1288789607391039523</t>
        </is>
      </c>
      <c r="C31" t="inlineStr">
        <is>
          <t>2025-11-08 14:18:45</t>
        </is>
      </c>
      <c r="D31">
        <f>HYPERLINK("https://x.com/mikaahell/status/1987116712592904296", "https://x.com/mikaahell/status/1987116712592904296")</f>
        <v/>
      </c>
    </row>
    <row r="32">
      <c r="A32" t="inlineStr">
        <is>
          <t>isasatosha#0</t>
        </is>
      </c>
      <c r="B32" t="inlineStr">
        <is>
          <t>810002090319544342</t>
        </is>
      </c>
      <c r="C32" t="inlineStr">
        <is>
          <t>2025-11-08 14:19:30</t>
        </is>
      </c>
      <c r="D32">
        <f>HYPERLINK("https://x.com/infocryptoweb3/status/1987117588229353842", "https://x.com/infocryptoweb3/status/1987117588229353842")</f>
        <v/>
      </c>
    </row>
    <row r="33">
      <c r="A33" t="inlineStr">
        <is>
          <t>thonguyen1211#0</t>
        </is>
      </c>
      <c r="B33" t="inlineStr">
        <is>
          <t>1341808057612632064</t>
        </is>
      </c>
      <c r="C33" t="inlineStr">
        <is>
          <t>2025-11-08 14:28:14</t>
        </is>
      </c>
      <c r="D33">
        <f>HYPERLINK("https://x.com/nguyentho121194/status/1985998822804484450?s=46", "https://x.com/nguyentho121194/status/1985998822804484450?s=46")</f>
        <v/>
      </c>
    </row>
    <row r="34">
      <c r="A34" t="inlineStr">
        <is>
          <t>ash24.#0</t>
        </is>
      </c>
      <c r="B34" t="inlineStr">
        <is>
          <t>718798904728223796</t>
        </is>
      </c>
      <c r="C34" t="inlineStr">
        <is>
          <t>2025-11-08 14:37:04</t>
        </is>
      </c>
      <c r="D34">
        <f>HYPERLINK("https://x.com/0xash24/status/1987114784588706278?s=46&amp;t=ofva2CVajoJH8XoN-Gy9Yw", "https://x.com/0xash24/status/1987114784588706278?s=46&amp;t=ofva2CVajoJH8XoN-Gy9Yw")</f>
        <v/>
      </c>
    </row>
    <row r="35">
      <c r="A35" t="inlineStr">
        <is>
          <t>shroomskull#0</t>
        </is>
      </c>
      <c r="B35" t="inlineStr">
        <is>
          <t>398382848081526796</t>
        </is>
      </c>
      <c r="C35" t="inlineStr">
        <is>
          <t>2025-11-08 14:39:23</t>
        </is>
      </c>
      <c r="D35">
        <f>HYPERLINK("https://x.com/panisaoi/status/1987122586904633640?s=46", "https://x.com/panisaoi/status/1987122586904633640?s=46")</f>
        <v/>
      </c>
    </row>
    <row r="36">
      <c r="A36" t="inlineStr">
        <is>
          <t>ethsuix#0</t>
        </is>
      </c>
      <c r="B36" t="inlineStr">
        <is>
          <t>1249895901594648587</t>
        </is>
      </c>
      <c r="C36" t="inlineStr">
        <is>
          <t>2025-11-08 14:59:51</t>
        </is>
      </c>
      <c r="D36">
        <f>HYPERLINK("https://x.com/Byte_BD/status/1987116862187143312", "https://x.com/Byte_BD/status/1987116862187143312")</f>
        <v/>
      </c>
    </row>
    <row r="37">
      <c r="A37" t="inlineStr">
        <is>
          <t>odenk32#0</t>
        </is>
      </c>
      <c r="B37" t="inlineStr">
        <is>
          <t>590153597929521177</t>
        </is>
      </c>
      <c r="C37" t="inlineStr">
        <is>
          <t>2025-11-08 15:03:22</t>
        </is>
      </c>
      <c r="D37">
        <f>HYPERLINK("https://x.com/Fajar82132202/status/1986394866688073880", "https://x.com/Fajar82132202/status/1986394866688073880")</f>
        <v/>
      </c>
    </row>
    <row r="38">
      <c r="A38" t="inlineStr">
        <is>
          <t>olesia_72916#0</t>
        </is>
      </c>
      <c r="B38" t="inlineStr">
        <is>
          <t>1226857481070968902</t>
        </is>
      </c>
      <c r="C38" t="inlineStr">
        <is>
          <t>2025-11-08 15:06:41</t>
        </is>
      </c>
      <c r="D38">
        <f>HYPERLINK("https://x.com/Lisa_Alisa_77/status/1986749697445257707", "https://x.com/Lisa_Alisa_77/status/1986749697445257707")</f>
        <v/>
      </c>
    </row>
    <row r="39">
      <c r="A39" t="inlineStr">
        <is>
          <t>adigamemaster#0</t>
        </is>
      </c>
      <c r="B39" t="inlineStr">
        <is>
          <t>591117795031384094</t>
        </is>
      </c>
      <c r="C39" t="inlineStr">
        <is>
          <t>2025-11-08 15:23:38</t>
        </is>
      </c>
      <c r="D39">
        <f>HYPERLINK("https://x.com/zzzdzzz30/status/1987130692745240965?s=46", "https://x.com/zzzdzzz30/status/1987130692745240965?s=46")</f>
        <v/>
      </c>
    </row>
    <row r="40">
      <c r="A40" t="inlineStr">
        <is>
          <t>0xhsym#0</t>
        </is>
      </c>
      <c r="B40" t="inlineStr">
        <is>
          <t>1192772063258226699</t>
        </is>
      </c>
      <c r="C40" t="inlineStr">
        <is>
          <t>2025-11-08 15:36:43</t>
        </is>
      </c>
      <c r="D40">
        <f>HYPERLINK("https://x.com/seismicintern/status/1987004771178586316?t=-rXxAsihi6XZHvVqx2WoOA&amp;s=19", "https://x.com/seismicintern/status/1987004771178586316?t=-rXxAsihi6XZHvVqx2WoOA&amp;s=19")</f>
        <v/>
      </c>
    </row>
    <row r="41">
      <c r="A41" t="inlineStr">
        <is>
          <t>helloanggi#0</t>
        </is>
      </c>
      <c r="B41" t="inlineStr">
        <is>
          <t>1340902313610580068</t>
        </is>
      </c>
      <c r="C41" t="inlineStr">
        <is>
          <t>2025-11-08 15:42:29</t>
        </is>
      </c>
      <c r="D41">
        <f>HYPERLINK("https://x.com/hellopinkverse/status/1987138335379202376?t=DWocx39AkMy9Kcdf5H78Ug&amp;s=19", "https://x.com/hellopinkverse/status/1987138335379202376?t=DWocx39AkMy9Kcdf5H78Ug&amp;s=19")</f>
        <v/>
      </c>
    </row>
    <row r="42">
      <c r="A42" t="inlineStr">
        <is>
          <t>blackwolf07329#0</t>
        </is>
      </c>
      <c r="B42" t="inlineStr">
        <is>
          <t>1321494106370998293</t>
        </is>
      </c>
      <c r="C42" t="inlineStr">
        <is>
          <t>2025-11-08 15:55:21</t>
        </is>
      </c>
      <c r="D42">
        <f>HYPERLINK("https://x.com/Blackwolf07071/status/1987125832029204688?t=iwhi1sgiDHgKDUoirhMxaw&amp;s=19", "https://x.com/Blackwolf07071/status/1987125832029204688?t=iwhi1sgiDHgKDUoirhMxaw&amp;s=19")</f>
        <v/>
      </c>
    </row>
    <row r="43">
      <c r="A43" t="inlineStr">
        <is>
          <t>vadimwright#0</t>
        </is>
      </c>
      <c r="B43" t="inlineStr">
        <is>
          <t>968919971243626517</t>
        </is>
      </c>
      <c r="C43" t="inlineStr">
        <is>
          <t>2025-11-08 15:55:51</t>
        </is>
      </c>
      <c r="D43">
        <f>HYPERLINK("https://x.com/vadimwright/status/1986864054099648626?s=46&amp;t=G_fh7RsXfOZJKMeJWKr6MQ", "https://x.com/vadimwright/status/1986864054099648626?s=46&amp;t=G_fh7RsXfOZJKMeJWKr6MQ")</f>
        <v/>
      </c>
    </row>
    <row r="44">
      <c r="A44" t="inlineStr">
        <is>
          <t>zombie.edn#0</t>
        </is>
      </c>
      <c r="B44" t="inlineStr">
        <is>
          <t>758306267063779328</t>
        </is>
      </c>
      <c r="C44" t="inlineStr">
        <is>
          <t>2025-11-08 15:56:00</t>
        </is>
      </c>
      <c r="D44">
        <f>HYPERLINK("https://x.com/zombie_edn/status/1987053923480576436", "https://x.com/zombie_edn/status/1987053923480576436")</f>
        <v/>
      </c>
    </row>
    <row r="45">
      <c r="A45" t="inlineStr">
        <is>
          <t>mikey.ovt#0</t>
        </is>
      </c>
      <c r="B45" t="inlineStr">
        <is>
          <t>929029492410818681</t>
        </is>
      </c>
      <c r="C45" t="inlineStr">
        <is>
          <t>2025-11-08 15:58:04</t>
        </is>
      </c>
      <c r="D45">
        <f>HYPERLINK("https://x.com/0XLmikey/status/1986876842440081609?t=jx1mjZCY-abrrWhxpKKEcA&amp;s=19", "https://x.com/0XLmikey/status/1986876842440081609?t=jx1mjZCY-abrrWhxpKKEcA&amp;s=19")</f>
        <v/>
      </c>
    </row>
    <row r="46">
      <c r="A46" t="inlineStr">
        <is>
          <t>mafiaswat#0</t>
        </is>
      </c>
      <c r="B46" t="inlineStr">
        <is>
          <t>482383145375629322</t>
        </is>
      </c>
      <c r="C46" t="inlineStr">
        <is>
          <t>2025-11-08 16:00:46</t>
        </is>
      </c>
      <c r="D46">
        <f>HYPERLINK("https://x.com/leoxwolf_/status/1987143073001054473", "https://x.com/leoxwolf_/status/1987143073001054473")</f>
        <v/>
      </c>
    </row>
    <row r="47">
      <c r="A47" t="inlineStr">
        <is>
          <t>cloudtechvn#0</t>
        </is>
      </c>
      <c r="B47" t="inlineStr">
        <is>
          <t>892697675709972482</t>
        </is>
      </c>
      <c r="C47" t="inlineStr">
        <is>
          <t>2025-11-08 16:06:53</t>
        </is>
      </c>
      <c r="D47">
        <f>HYPERLINK("https://x.com/cloudtechvn/status/1986345385812762861?s=46&amp;t=u7kjXxQp8F5XDCBgWXiDAQ", "https://x.com/cloudtechvn/status/1986345385812762861?s=46&amp;t=u7kjXxQp8F5XDCBgWXiDAQ")</f>
        <v/>
      </c>
    </row>
    <row r="48">
      <c r="A48" t="inlineStr">
        <is>
          <t>ecodeath.#0</t>
        </is>
      </c>
      <c r="B48" t="inlineStr">
        <is>
          <t>734165516754878464</t>
        </is>
      </c>
      <c r="C48" t="inlineStr">
        <is>
          <t>2025-11-08 16:19:50</t>
        </is>
      </c>
      <c r="D48">
        <f>HYPERLINK("https://x.com/vammedok/status/1986459542666777072?s=20", "https://x.com/vammedok/status/1986459542666777072?s=20")</f>
        <v/>
      </c>
    </row>
    <row r="49">
      <c r="A49" t="inlineStr">
        <is>
          <t>princeosora#0</t>
        </is>
      </c>
      <c r="B49" t="inlineStr">
        <is>
          <t>1420453605693198428</t>
        </is>
      </c>
      <c r="C49" t="inlineStr">
        <is>
          <t>2025-11-08 16:25:32</t>
        </is>
      </c>
      <c r="D49">
        <f>HYPERLINK("https://x.com/princeosoraa/status/1987148997962706996?t=BKEdS7bB9yLy7RQ31--LVw&amp;s=19", "https://x.com/princeosoraa/status/1987148997962706996?t=BKEdS7bB9yLy7RQ31--LVw&amp;s=19")</f>
        <v/>
      </c>
    </row>
    <row r="50">
      <c r="A50" t="inlineStr">
        <is>
          <t>n1ks2#0</t>
        </is>
      </c>
      <c r="B50" t="inlineStr">
        <is>
          <t>563777332536410128</t>
        </is>
      </c>
      <c r="C50" t="inlineStr">
        <is>
          <t>2025-11-08 16:26:50</t>
        </is>
      </c>
      <c r="D50">
        <f>HYPERLINK("https://x.com/niks0n2/status/1987149600008933691?s=46&amp;t=g9X0rwKh8uz3UaRNulRz3Q", "https://x.com/niks0n2/status/1987149600008933691?s=46&amp;t=g9X0rwKh8uz3UaRNulRz3Q")</f>
        <v/>
      </c>
    </row>
    <row r="51">
      <c r="A51" t="inlineStr">
        <is>
          <t>unad222#0</t>
        </is>
      </c>
      <c r="B51" t="inlineStr">
        <is>
          <t>1321525636719968321</t>
        </is>
      </c>
      <c r="C51" t="inlineStr">
        <is>
          <t>2025-11-08 16:38:17</t>
        </is>
      </c>
      <c r="D51">
        <f>HYPERLINK("https://x.com/unadd222/status/1987152071158866097?t=aiSZ9XsQrKy6J14QF-bQTQ&amp;s=19", "https://x.com/unadd222/status/1987152071158866097?t=aiSZ9XsQrKy6J14QF-bQTQ&amp;s=19")</f>
        <v/>
      </c>
    </row>
    <row r="52">
      <c r="A52" t="inlineStr">
        <is>
          <t>renz_41.#0</t>
        </is>
      </c>
      <c r="B52" t="inlineStr">
        <is>
          <t>583530327813914624</t>
        </is>
      </c>
      <c r="C52" t="inlineStr">
        <is>
          <t>2025-11-08 16:39:08</t>
        </is>
      </c>
      <c r="D52">
        <f>HYPERLINK("https://x.com/Renz_414/status/1987152568032932139?t=R-iuv83TrPhUj4m7WWZW2w&amp;s=19", "https://x.com/Renz_414/status/1987152568032932139?t=R-iuv83TrPhUj4m7WWZW2w&amp;s=19")</f>
        <v/>
      </c>
    </row>
    <row r="53">
      <c r="A53" t="inlineStr">
        <is>
          <t>batrinh99_50650#0</t>
        </is>
      </c>
      <c r="B53" t="inlineStr">
        <is>
          <t>1344702720862457916</t>
        </is>
      </c>
      <c r="C53" t="inlineStr">
        <is>
          <t>2025-11-08 16:55:29</t>
        </is>
      </c>
      <c r="D53">
        <f>HYPERLINK("https://x.com/BaTrinh99/status/1986191967395717604?s=20", "https://x.com/BaTrinh99/status/1986191967395717604?s=20")</f>
        <v/>
      </c>
    </row>
    <row r="54">
      <c r="A54" t="inlineStr">
        <is>
          <t>novasko#0</t>
        </is>
      </c>
      <c r="B54" t="inlineStr">
        <is>
          <t>350776853948006411</t>
        </is>
      </c>
      <c r="C54" t="inlineStr">
        <is>
          <t>2025-11-08 17:04:50</t>
        </is>
      </c>
      <c r="D54">
        <f>HYPERLINK("https://x.com/Novasko17/status/1987159198111854641?t=nnI06Ee5aoIYuLVDp130EQ&amp;s=19", "https://x.com/Novasko17/status/1987159198111854641?t=nnI06Ee5aoIYuLVDp130EQ&amp;s=19")</f>
        <v/>
      </c>
    </row>
    <row r="55">
      <c r="A55" t="inlineStr">
        <is>
          <t>cepodr.#0</t>
        </is>
      </c>
      <c r="B55" t="inlineStr">
        <is>
          <t>923904578083246140</t>
        </is>
      </c>
      <c r="C55" t="inlineStr">
        <is>
          <t>2025-11-08 17:05:49</t>
        </is>
      </c>
      <c r="D55">
        <f>HYPERLINK("https://x.com/cepodr/status/1987155538157969861?t=6FBrs0Ll7JsISCyASQLIOQ&amp;s=19", "https://x.com/cepodr/status/1987155538157969861?t=6FBrs0Ll7JsISCyASQLIOQ&amp;s=19")</f>
        <v/>
      </c>
    </row>
    <row r="56">
      <c r="A56" t="inlineStr">
        <is>
          <t>1uciu2#0</t>
        </is>
      </c>
      <c r="B56" t="inlineStr">
        <is>
          <t>1299688263274987550</t>
        </is>
      </c>
      <c r="C56" t="inlineStr">
        <is>
          <t>2025-11-08 17:10:12</t>
        </is>
      </c>
      <c r="D56">
        <f>HYPERLINK("https://x.com/rivalbahti72821/status/1986038517861126320?t=iS0hf2XfJr89Q0XHuGW0FQ&amp;s=19", "https://x.com/rivalbahti72821/status/1986038517861126320?t=iS0hf2XfJr89Q0XHuGW0FQ&amp;s=19")</f>
        <v/>
      </c>
    </row>
    <row r="57">
      <c r="A57" t="inlineStr">
        <is>
          <t>talesofairdrop_09752#0</t>
        </is>
      </c>
      <c r="B57" t="inlineStr">
        <is>
          <t>1325856749240189062</t>
        </is>
      </c>
      <c r="C57" t="inlineStr">
        <is>
          <t>2025-11-08 17:20:19</t>
        </is>
      </c>
      <c r="D57">
        <f>HYPERLINK("https://x.com/Crypto_ToA/status/1987163164006388032?t=_qnSXKyRjT4j0PVa3U43uA&amp;s=19", "https://x.com/Crypto_ToA/status/1987163164006388032?t=_qnSXKyRjT4j0PVa3U43uA&amp;s=19")</f>
        <v/>
      </c>
    </row>
    <row r="58">
      <c r="A58" t="inlineStr">
        <is>
          <t>hecong545855#0</t>
        </is>
      </c>
      <c r="B58" t="inlineStr">
        <is>
          <t>1337410862457028683</t>
        </is>
      </c>
      <c r="C58" t="inlineStr">
        <is>
          <t>2025-11-08 17:21:41</t>
        </is>
      </c>
      <c r="D58">
        <f>HYPERLINK("https://x.com/Hecong545855/status/1987163338804208064", "https://x.com/Hecong545855/status/1987163338804208064")</f>
        <v/>
      </c>
    </row>
    <row r="59">
      <c r="A59" t="inlineStr">
        <is>
          <t>ibad27#0</t>
        </is>
      </c>
      <c r="B59" t="inlineStr">
        <is>
          <t>1201510882329514096</t>
        </is>
      </c>
      <c r="C59" t="inlineStr">
        <is>
          <t>2025-11-08 17:31:43</t>
        </is>
      </c>
      <c r="D59">
        <f>HYPERLINK("https://x.com/irsyadibadnurul/status/1987016901533614412?t=FmX9USG5hoK_C5iWsHmJ6w&amp;s=19", "https://x.com/irsyadibadnurul/status/1987016901533614412?t=FmX9USG5hoK_C5iWsHmJ6w&amp;s=19")</f>
        <v/>
      </c>
    </row>
    <row r="60">
      <c r="A60" t="inlineStr">
        <is>
          <t>keizerz22#0</t>
        </is>
      </c>
      <c r="B60" t="inlineStr">
        <is>
          <t>1326366972417675335</t>
        </is>
      </c>
      <c r="C60" t="inlineStr">
        <is>
          <t>2025-11-08 17:33:16</t>
        </is>
      </c>
      <c r="D60">
        <f>HYPERLINK("https://x.com/oxkeizerz/status/1987165937980875172?s=46", "https://x.com/oxkeizerz/status/1987165937980875172?s=46")</f>
        <v/>
      </c>
    </row>
    <row r="61">
      <c r="A61" t="inlineStr">
        <is>
          <t>stonedboi_911#0</t>
        </is>
      </c>
      <c r="B61" t="inlineStr">
        <is>
          <t>1254673115271925830</t>
        </is>
      </c>
      <c r="C61" t="inlineStr">
        <is>
          <t>2025-11-08 17:45:43</t>
        </is>
      </c>
      <c r="D61">
        <f>HYPERLINK("https://x.com/stonedboi_911/status/1987169508755202419", "https://x.com/stonedboi_911/status/1987169508755202419")</f>
        <v/>
      </c>
    </row>
    <row r="62">
      <c r="A62" t="inlineStr">
        <is>
          <t>bhatyasir45#0</t>
        </is>
      </c>
      <c r="B62" t="inlineStr">
        <is>
          <t>1303221350906990597</t>
        </is>
      </c>
      <c r="C62" t="inlineStr">
        <is>
          <t>2025-11-08 17:53:20</t>
        </is>
      </c>
      <c r="D62">
        <f>HYPERLINK("https://x.com/bhatyasser1/status/1985979692361642469?t=MJBKkM9oNUHotIpJ8RCVhw&amp;s=19", "https://x.com/bhatyasser1/status/1985979692361642469?t=MJBKkM9oNUHotIpJ8RCVhw&amp;s=19")</f>
        <v/>
      </c>
    </row>
    <row r="63">
      <c r="A63" t="inlineStr">
        <is>
          <t>krispicrush#0</t>
        </is>
      </c>
      <c r="B63" t="inlineStr">
        <is>
          <t>842589988977377301</t>
        </is>
      </c>
      <c r="C63" t="inlineStr">
        <is>
          <t>2025-11-08 17:59:16</t>
        </is>
      </c>
      <c r="D63">
        <f>HYPERLINK("https://x.com/Krispicrush/status/1987172710473212100?t=lDlmLBSkT8xIeQHNiFCeFg&amp;s=19", "https://x.com/Krispicrush/status/1987172710473212100?t=lDlmLBSkT8xIeQHNiFCeFg&amp;s=19")</f>
        <v/>
      </c>
    </row>
    <row r="64">
      <c r="A64" t="inlineStr">
        <is>
          <t>lllloopy#0</t>
        </is>
      </c>
      <c r="B64" t="inlineStr">
        <is>
          <t>1324221470754340899</t>
        </is>
      </c>
      <c r="C64" t="inlineStr">
        <is>
          <t>2025-11-08 18:05:06</t>
        </is>
      </c>
      <c r="D64">
        <f>HYPERLINK("https://x.com/llllopy/status/1986756665543401550?s=46", "https://x.com/llllopy/status/1986756665543401550?s=46")</f>
        <v/>
      </c>
    </row>
    <row r="65">
      <c r="A65" t="inlineStr">
        <is>
          <t>zayn_shelby0090#0</t>
        </is>
      </c>
      <c r="B65" t="inlineStr">
        <is>
          <t>901041706500259860</t>
        </is>
      </c>
      <c r="C65" t="inlineStr">
        <is>
          <t>2025-11-08 18:20:15</t>
        </is>
      </c>
      <c r="D65">
        <f>HYPERLINK("https://x.com/Darcy0090/status/1987178050837229621?s=20", "https://x.com/Darcy0090/status/1987178050837229621?s=20")</f>
        <v/>
      </c>
    </row>
    <row r="66">
      <c r="A66" t="inlineStr">
        <is>
          <t>web3nothing#0</t>
        </is>
      </c>
      <c r="B66" t="inlineStr">
        <is>
          <t>1092420310554382366</t>
        </is>
      </c>
      <c r="C66" t="inlineStr">
        <is>
          <t>2025-11-08 18:27:42</t>
        </is>
      </c>
      <c r="D66">
        <f>HYPERLINK("https://x.com/web3nothing/status/1987180152825270766?s=20", "https://x.com/web3nothing/status/1987180152825270766?s=20")</f>
        <v/>
      </c>
    </row>
    <row r="67">
      <c r="A67" t="inlineStr">
        <is>
          <t>atomic996.#0</t>
        </is>
      </c>
      <c r="B67" t="inlineStr">
        <is>
          <t>858264741336055819</t>
        </is>
      </c>
      <c r="C67" t="inlineStr">
        <is>
          <t>2025-11-08 18:29:11</t>
        </is>
      </c>
      <c r="D67">
        <f>HYPERLINK("https://x.com/Atomic996/status/1987178582607532456?t=t7OntOh5vEwsb_MsfqoT0g&amp;s=19", "https://x.com/Atomic996/status/1987178582607532456?t=t7OntOh5vEwsb_MsfqoT0g&amp;s=19")</f>
        <v/>
      </c>
    </row>
    <row r="68">
      <c r="A68" t="inlineStr">
        <is>
          <t>canlk#0</t>
        </is>
      </c>
      <c r="B68" t="inlineStr">
        <is>
          <t>742954815931285534</t>
        </is>
      </c>
      <c r="C68" t="inlineStr">
        <is>
          <t>2025-11-08 18:34:05</t>
        </is>
      </c>
      <c r="D68">
        <f>HYPERLINK("https://x.com/HienTran200690/status/1987173565356236987?s=20", "https://x.com/HienTran200690/status/1987173565356236987?s=20")</f>
        <v/>
      </c>
    </row>
    <row r="69">
      <c r="A69" t="inlineStr">
        <is>
          <t>lmartiap#0</t>
        </is>
      </c>
      <c r="B69" t="inlineStr">
        <is>
          <t>1353783542467006505</t>
        </is>
      </c>
      <c r="C69" t="inlineStr">
        <is>
          <t>2025-11-08 18:46:37</t>
        </is>
      </c>
      <c r="D69">
        <f>HYPERLINK("https://x.com/MapLisyo/status/1987182885674086808?s=20", "https://x.com/MapLisyo/status/1987182885674086808?s=20")</f>
        <v/>
      </c>
    </row>
    <row r="70">
      <c r="A70" t="inlineStr">
        <is>
          <t>ko1_zz#0</t>
        </is>
      </c>
      <c r="B70" t="inlineStr">
        <is>
          <t>1230846547768639512</t>
        </is>
      </c>
      <c r="C70" t="inlineStr">
        <is>
          <t>2025-11-08 19:07:32</t>
        </is>
      </c>
      <c r="D70">
        <f>HYPERLINK("https://x.com/ko1_zz2/status/1986750350431547879?s=46", "https://x.com/ko1_zz2/status/1986750350431547879?s=46")</f>
        <v/>
      </c>
    </row>
    <row r="71">
      <c r="A71" t="inlineStr">
        <is>
          <t>garbar7548#0</t>
        </is>
      </c>
      <c r="B71" t="inlineStr">
        <is>
          <t>1120025162939650082</t>
        </is>
      </c>
      <c r="C71" t="inlineStr">
        <is>
          <t>2025-11-08 19:18:15</t>
        </is>
      </c>
      <c r="D71">
        <f>HYPERLINK("https://x.com/garbar07/status/1987192894663315633", "https://x.com/garbar07/status/1987192894663315633")</f>
        <v/>
      </c>
    </row>
    <row r="72">
      <c r="A72" t="inlineStr">
        <is>
          <t>muhammadzahid786#0</t>
        </is>
      </c>
      <c r="B72" t="inlineStr">
        <is>
          <t>1011933380079779930</t>
        </is>
      </c>
      <c r="C72" t="inlineStr">
        <is>
          <t>2025-11-08 19:29:38</t>
        </is>
      </c>
      <c r="D72">
        <f>HYPERLINK("https://x.com/Muhammad515552/status/1987017589047111761?t=oH5HiQMQNScV0boMNtwlOw&amp;s=19", "https://x.com/Muhammad515552/status/1987017589047111761?t=oH5HiQMQNScV0boMNtwlOw&amp;s=19")</f>
        <v/>
      </c>
    </row>
    <row r="73">
      <c r="A73" t="inlineStr">
        <is>
          <t>vanchau90#0</t>
        </is>
      </c>
      <c r="B73" t="inlineStr">
        <is>
          <t>1156810436004548638</t>
        </is>
      </c>
      <c r="C73" t="inlineStr">
        <is>
          <t>2025-11-08 19:30:34</t>
        </is>
      </c>
      <c r="D73">
        <f>HYPERLINK("https://x.com/vanchau909/status/1987193220640673817?t=zLUt0lCDCBoCNy-W243AIg&amp;s=19", "https://x.com/vanchau909/status/1987193220640673817?t=zLUt0lCDCBoCNy-W243AIg&amp;s=19")</f>
        <v/>
      </c>
    </row>
    <row r="74">
      <c r="A74" t="inlineStr">
        <is>
          <t>cryptolady.#0</t>
        </is>
      </c>
      <c r="B74" t="inlineStr">
        <is>
          <t>927934385037123605</t>
        </is>
      </c>
      <c r="C74" t="inlineStr">
        <is>
          <t>2025-11-08 19:50:30</t>
        </is>
      </c>
      <c r="D74">
        <f>HYPERLINK("https://x.com/AnnaVasileva22/status/1987200982137143492", "https://x.com/AnnaVasileva22/status/1987200982137143492")</f>
        <v/>
      </c>
    </row>
    <row r="75">
      <c r="A75" t="inlineStr">
        <is>
          <t>oxygn5067#0</t>
        </is>
      </c>
      <c r="B75" t="inlineStr">
        <is>
          <t>292785923534356480</t>
        </is>
      </c>
      <c r="C75" t="inlineStr">
        <is>
          <t>2025-11-08 20:06:50</t>
        </is>
      </c>
      <c r="D75">
        <f>HYPERLINK("https://x.com/Math_FTN74/status/1987203501806555634?s=20", "https://x.com/Math_FTN74/status/1987203501806555634?s=20")</f>
        <v/>
      </c>
    </row>
    <row r="76">
      <c r="A76" t="inlineStr">
        <is>
          <t>mstfymhmdyn#0</t>
        </is>
      </c>
      <c r="B76" t="inlineStr">
        <is>
          <t>1336482940107886634</t>
        </is>
      </c>
      <c r="C76" t="inlineStr">
        <is>
          <t>2025-11-08 20:36:03</t>
        </is>
      </c>
      <c r="D76">
        <f>HYPERLINK("https://x.com/BAF8DEDY/status/1987198616616800647", "https://x.com/BAF8DEDY/status/1987198616616800647")</f>
        <v/>
      </c>
    </row>
    <row r="77">
      <c r="A77" t="inlineStr">
        <is>
          <t>zurchonik#0</t>
        </is>
      </c>
      <c r="B77" t="inlineStr">
        <is>
          <t>826303600812359691</t>
        </is>
      </c>
      <c r="C77" t="inlineStr">
        <is>
          <t>2025-11-08 21:11:34</t>
        </is>
      </c>
      <c r="D77">
        <f>HYPERLINK("https://x.com/zurchonik/status/1987220714659979384", "https://x.com/zurchonik/status/1987220714659979384")</f>
        <v/>
      </c>
    </row>
    <row r="78">
      <c r="A78" t="inlineStr">
        <is>
          <t>_jack5566_#0</t>
        </is>
      </c>
      <c r="B78" t="inlineStr">
        <is>
          <t>1388907035369930782</t>
        </is>
      </c>
      <c r="C78" t="inlineStr">
        <is>
          <t>2025-11-08 21:12:27</t>
        </is>
      </c>
      <c r="D78">
        <f>HYPERLINK("https://x.com/_JACK5566_/status/1987221609460211879?s=20", "https://x.com/_JACK5566_/status/1987221609460211879?s=20")</f>
        <v/>
      </c>
    </row>
    <row r="79">
      <c r="A79" t="inlineStr">
        <is>
          <t>arisma10.#0</t>
        </is>
      </c>
      <c r="B79" t="inlineStr">
        <is>
          <t>1260314088727384205</t>
        </is>
      </c>
      <c r="C79" t="inlineStr">
        <is>
          <t>2025-11-08 21:17:37</t>
        </is>
      </c>
      <c r="D79">
        <f>HYPERLINK("https://x.com/john08431775569/status/1987220660104331467?t=llRv25uevVcxh7seNgdr3g&amp;s=19", "https://x.com/john08431775569/status/1987220660104331467?t=llRv25uevVcxh7seNgdr3g&amp;s=19")</f>
        <v/>
      </c>
    </row>
    <row r="80">
      <c r="A80" t="inlineStr">
        <is>
          <t>blessed_guy777#0</t>
        </is>
      </c>
      <c r="B80" t="inlineStr">
        <is>
          <t>362804710152863755</t>
        </is>
      </c>
      <c r="C80" t="inlineStr">
        <is>
          <t>2025-11-08 21:17:53</t>
        </is>
      </c>
      <c r="D80">
        <f>HYPERLINK("https://x.com/FelixJetro/status/1987221773579133366", "https://x.com/FelixJetro/status/1987221773579133366")</f>
        <v/>
      </c>
    </row>
    <row r="81">
      <c r="A81" t="inlineStr">
        <is>
          <t>sparsh6864#0</t>
        </is>
      </c>
      <c r="B81" t="inlineStr">
        <is>
          <t>605605575199293494</t>
        </is>
      </c>
      <c r="C81" t="inlineStr">
        <is>
          <t>2025-11-08 21:35:50</t>
        </is>
      </c>
      <c r="D81">
        <f>HYPERLINK("https://x.com/MetaRadon64/status/1987227487483666950?s=20", "https://x.com/MetaRadon64/status/1987227487483666950?s=20")</f>
        <v/>
      </c>
    </row>
    <row r="82">
      <c r="A82" t="inlineStr">
        <is>
          <t>xiaobaiaishuijue#0</t>
        </is>
      </c>
      <c r="B82" t="inlineStr">
        <is>
          <t>1311588292915105812</t>
        </is>
      </c>
      <c r="C82" t="inlineStr">
        <is>
          <t>2025-11-08 21:40:59</t>
        </is>
      </c>
      <c r="D82">
        <f>HYPERLINK("https://x.com/goodbai22/status/1987228738527109292?s=61", "https://x.com/goodbai22/status/1987228738527109292?s=61")</f>
        <v/>
      </c>
    </row>
    <row r="83">
      <c r="A83" t="inlineStr">
        <is>
          <t>1_bankai#0</t>
        </is>
      </c>
      <c r="B83" t="inlineStr">
        <is>
          <t>1272190147521417312</t>
        </is>
      </c>
      <c r="C83" t="inlineStr">
        <is>
          <t>2025-11-08 21:47:02</t>
        </is>
      </c>
      <c r="D83">
        <f>HYPERLINK("https://x.com/1_bankai/status/1987228852683481470?s=20", "https://x.com/1_bankai/status/1987228852683481470?s=20")</f>
        <v/>
      </c>
    </row>
    <row r="84">
      <c r="A84" t="inlineStr">
        <is>
          <t>fireworks0729#0</t>
        </is>
      </c>
      <c r="B84" t="inlineStr">
        <is>
          <t>1327579766097838090</t>
        </is>
      </c>
      <c r="C84" t="inlineStr">
        <is>
          <t>2025-11-08 22:02:10</t>
        </is>
      </c>
      <c r="D84">
        <f>HYPERLINK("https://x.com/fireworks2007/status/1986947742770381249?t=AnAYWSD6Fb5dcfVdPKtzGA&amp;s=19", "https://x.com/fireworks2007/status/1986947742770381249?t=AnAYWSD6Fb5dcfVdPKtzGA&amp;s=19")</f>
        <v/>
      </c>
    </row>
    <row r="85">
      <c r="A85" t="inlineStr">
        <is>
          <t>blackwolf07329#0</t>
        </is>
      </c>
      <c r="B85" t="inlineStr">
        <is>
          <t>1321494106370998293</t>
        </is>
      </c>
      <c r="C85" t="inlineStr">
        <is>
          <t>2025-11-08 22:08:39</t>
        </is>
      </c>
      <c r="D85">
        <f>HYPERLINK("https://x.com/Blackwolf07071/status/1987231057771659679?t=gP2IjSifODTFnIyBdI1h_Q&amp;s=19", "https://x.com/Blackwolf07071/status/1987231057771659679?t=gP2IjSifODTFnIyBdI1h_Q&amp;s=19")</f>
        <v/>
      </c>
    </row>
    <row r="86">
      <c r="A86" t="inlineStr">
        <is>
          <t>junaid3326#0</t>
        </is>
      </c>
      <c r="B86" t="inlineStr">
        <is>
          <t>1108104330919288922</t>
        </is>
      </c>
      <c r="C86" t="inlineStr">
        <is>
          <t>2025-11-08 22:28:24</t>
        </is>
      </c>
      <c r="D86">
        <f>HYPERLINK("https://x.com/Junaidy26598227/status/1987240132492361969?t=IxddHQYY6DVtxlVzPs7mOw&amp;s=19", "https://x.com/Junaidy26598227/status/1987240132492361969?t=IxddHQYY6DVtxlVzPs7mOw&amp;s=19")</f>
        <v/>
      </c>
    </row>
    <row r="87">
      <c r="A87" t="inlineStr">
        <is>
          <t>keithbm#0</t>
        </is>
      </c>
      <c r="B87" t="inlineStr">
        <is>
          <t>830514313956818975</t>
        </is>
      </c>
      <c r="C87" t="inlineStr">
        <is>
          <t>2025-11-08 22:38:03</t>
        </is>
      </c>
      <c r="D87">
        <f>HYPERLINK("https://x.com/ferdo717/status/1986463770533626039?s=20", "https://x.com/ferdo717/status/1986463770533626039?s=20")</f>
        <v/>
      </c>
    </row>
    <row r="88">
      <c r="A88" t="inlineStr">
        <is>
          <t>zammybee__85833#0</t>
        </is>
      </c>
      <c r="B88" t="inlineStr">
        <is>
          <t>1237891151529246763</t>
        </is>
      </c>
      <c r="C88" t="inlineStr">
        <is>
          <t>2025-11-08 22:53:14</t>
        </is>
      </c>
      <c r="D88">
        <f>HYPERLINK("https://x.com/opebiola21694/status/1987233075407765653?s=46", "https://x.com/opebiola21694/status/1987233075407765653?s=46")</f>
        <v/>
      </c>
    </row>
    <row r="89">
      <c r="A89" t="inlineStr">
        <is>
          <t>haykeenz#0</t>
        </is>
      </c>
      <c r="B89" t="inlineStr">
        <is>
          <t>1246120713962651678</t>
        </is>
      </c>
      <c r="C89" t="inlineStr">
        <is>
          <t>2025-11-08 22:58:03</t>
        </is>
      </c>
      <c r="D89">
        <f>HYPERLINK("https://x.com/justhaykeenz/status/1987248037865853377", "https://x.com/justhaykeenz/status/1987248037865853377")</f>
        <v/>
      </c>
    </row>
    <row r="90">
      <c r="A90" t="inlineStr">
        <is>
          <t>yousiffai#0</t>
        </is>
      </c>
      <c r="B90" t="inlineStr">
        <is>
          <t>812791367603716126</t>
        </is>
      </c>
      <c r="C90" t="inlineStr">
        <is>
          <t>2025-11-08 23:22:25</t>
        </is>
      </c>
      <c r="D90">
        <f>HYPERLINK("https://x.com/tofi18s/status/1987217786758713509?s=46&amp;t=AQ25YHNRpDlr2bZ1I8Q8jQ", "https://x.com/tofi18s/status/1987217786758713509?s=46&amp;t=AQ25YHNRpDlr2bZ1I8Q8jQ")</f>
        <v/>
      </c>
    </row>
    <row r="91">
      <c r="A91" t="inlineStr">
        <is>
          <t>nyamiwww#0</t>
        </is>
      </c>
      <c r="B91" t="inlineStr">
        <is>
          <t>926104836229963797</t>
        </is>
      </c>
      <c r="C91" t="inlineStr">
        <is>
          <t>2025-11-08 23:33:02</t>
        </is>
      </c>
      <c r="D91">
        <f>HYPERLINK("https://x.com/nyamiGG/status/1987256918700925280", "https://x.com/nyamiGG/status/1987256918700925280")</f>
        <v/>
      </c>
    </row>
    <row r="92">
      <c r="A92" t="inlineStr">
        <is>
          <t>lilian_371#0</t>
        </is>
      </c>
      <c r="B92" t="inlineStr">
        <is>
          <t>939219013072977990</t>
        </is>
      </c>
      <c r="C92" t="inlineStr">
        <is>
          <t>2025-11-08 23:54:53</t>
        </is>
      </c>
      <c r="D92">
        <f>HYPERLINK("https://x.com/lilian_371/status/1987019610483216473?t=HSgWxYJPmP6c7xuEp_fo5A&amp;s=19", "https://x.com/lilian_371/status/1987019610483216473?t=HSgWxYJPmP6c7xuEp_fo5A&amp;s=19")</f>
        <v/>
      </c>
    </row>
    <row r="93">
      <c r="A93" t="inlineStr">
        <is>
          <t>belshfhem_1810#0</t>
        </is>
      </c>
      <c r="B93" t="inlineStr">
        <is>
          <t>980663792822280263</t>
        </is>
      </c>
      <c r="C93" t="inlineStr">
        <is>
          <t>2025-11-08 23:56:26</t>
        </is>
      </c>
      <c r="D93">
        <f>HYPERLINK("https://x.com/D_phyrusSoul/status/1987262644248514710", "https://x.com/D_phyrusSoul/status/1987262644248514710")</f>
        <v/>
      </c>
    </row>
    <row r="94">
      <c r="A94" t="inlineStr">
        <is>
          <t>oualid_dz#0</t>
        </is>
      </c>
      <c r="B94" t="inlineStr">
        <is>
          <t>998613880743919656</t>
        </is>
      </c>
      <c r="C94" t="inlineStr">
        <is>
          <t>2025-11-09 00:17:33</t>
        </is>
      </c>
      <c r="D94">
        <f>HYPERLINK("https://x.com/OUALI_16/status/1987267181944492176", "https://x.com/OUALI_16/status/1987267181944492176")</f>
        <v/>
      </c>
    </row>
    <row r="95">
      <c r="A95" t="inlineStr">
        <is>
          <t>rinoonchain#0</t>
        </is>
      </c>
      <c r="B95" t="inlineStr">
        <is>
          <t>1222953506038616157</t>
        </is>
      </c>
      <c r="C95" t="inlineStr">
        <is>
          <t>2025-11-09 00:41:39</t>
        </is>
      </c>
      <c r="D95">
        <f>HYPERLINK("https://x.com/RinoOnchain/status/1987272913716707733", "https://x.com/RinoOnchain/status/1987272913716707733")</f>
        <v/>
      </c>
    </row>
    <row r="96">
      <c r="A96" t="inlineStr">
        <is>
          <t>elisen666#0</t>
        </is>
      </c>
      <c r="B96" t="inlineStr">
        <is>
          <t>881243095667195925</t>
        </is>
      </c>
      <c r="C96" t="inlineStr">
        <is>
          <t>2025-11-09 01:01:07</t>
        </is>
      </c>
      <c r="D96">
        <f>HYPERLINK("https://x.com/AliskaCrypto/status/1987277289936064825?t=7yjNlkD5llEdw1ac0ofOIQ&amp;s=19", "https://x.com/AliskaCrypto/status/1987277289936064825?t=7yjNlkD5llEdw1ac0ofOIQ&amp;s=19")</f>
        <v/>
      </c>
    </row>
    <row r="97">
      <c r="A97" t="inlineStr">
        <is>
          <t>bellissimacuore#0</t>
        </is>
      </c>
      <c r="B97" t="inlineStr">
        <is>
          <t>558364278760013844</t>
        </is>
      </c>
      <c r="C97" t="inlineStr">
        <is>
          <t>2025-11-09 01:07:14</t>
        </is>
      </c>
      <c r="D97">
        <f>HYPERLINK("https://x.com/Anomaliiq/status/1987280587242283407?s=20", "https://x.com/Anomaliiq/status/1987280587242283407?s=20")</f>
        <v/>
      </c>
    </row>
    <row r="98">
      <c r="A98" t="inlineStr">
        <is>
          <t>qvvvvv11#0</t>
        </is>
      </c>
      <c r="B98" t="inlineStr">
        <is>
          <t>1200358510542716960</t>
        </is>
      </c>
      <c r="C98" t="inlineStr">
        <is>
          <t>2025-11-09 01:23:31</t>
        </is>
      </c>
      <c r="D98">
        <f>HYPERLINK("https://x.com/qvvvvv11/status/1985407470261715327?s=46", "https://x.com/qvvvvv11/status/1985407470261715327?s=46")</f>
        <v/>
      </c>
    </row>
    <row r="99">
      <c r="A99" t="inlineStr">
        <is>
          <t>disflare4291#0</t>
        </is>
      </c>
      <c r="B99" t="inlineStr">
        <is>
          <t>826995838005411860</t>
        </is>
      </c>
      <c r="C99" t="inlineStr">
        <is>
          <t>2025-11-09 02:33:37</t>
        </is>
      </c>
      <c r="D99">
        <f>HYPERLINK("https://x.com/temmmy612/status/1987082307971297500?s=19", "https://x.com/temmmy612/status/1987082307971297500?s=19")</f>
        <v/>
      </c>
    </row>
    <row r="100">
      <c r="A100" t="inlineStr">
        <is>
          <t>kitaberjuanglagi#0</t>
        </is>
      </c>
      <c r="B100" t="inlineStr">
        <is>
          <t>1200069331279691867</t>
        </is>
      </c>
      <c r="C100" t="inlineStr">
        <is>
          <t>2025-11-09 02:57:50</t>
        </is>
      </c>
      <c r="D100">
        <f>HYPERLINK("https://x.com/Jayyidinn/status/1987308395242922309", "https://x.com/Jayyidinn/status/1987308395242922309")</f>
        <v/>
      </c>
    </row>
    <row r="101">
      <c r="A101" t="inlineStr">
        <is>
          <t>giap123_79801#0</t>
        </is>
      </c>
      <c r="B101" t="inlineStr">
        <is>
          <t>1346629109261930608</t>
        </is>
      </c>
      <c r="C101" t="inlineStr">
        <is>
          <t>2025-11-09 03:00:18</t>
        </is>
      </c>
      <c r="D101">
        <f>HYPERLINK("https://x.com/Giap1503/status/1987309178831183915", "https://x.com/Giap1503/status/1987309178831183915")</f>
        <v/>
      </c>
    </row>
    <row r="102">
      <c r="A102" t="inlineStr">
        <is>
          <t>gozanjp#0</t>
        </is>
      </c>
      <c r="B102" t="inlineStr">
        <is>
          <t>1313831505935466507</t>
        </is>
      </c>
      <c r="C102" t="inlineStr">
        <is>
          <t>2025-11-09 03:19:05</t>
        </is>
      </c>
      <c r="D102">
        <f>HYPERLINK("https://x.com/oxdfahmadd/status/1987313659887165678", "https://x.com/oxdfahmadd/status/1987313659887165678")</f>
        <v/>
      </c>
    </row>
    <row r="103">
      <c r="A103" t="inlineStr">
        <is>
          <t>zella.nft#0</t>
        </is>
      </c>
      <c r="B103" t="inlineStr">
        <is>
          <t>1011391283757056132</t>
        </is>
      </c>
      <c r="C103" t="inlineStr">
        <is>
          <t>2025-11-09 04:20:24</t>
        </is>
      </c>
      <c r="D103">
        <f>HYPERLINK("https://x.com/nftzella/status/1987329014319743362?s=46&amp;t=TFkXqp22FM2h9rxiRxqQ0g", "https://x.com/nftzella/status/1987329014319743362?s=46&amp;t=TFkXqp22FM2h9rxiRxqQ0g")</f>
        <v/>
      </c>
    </row>
    <row r="104">
      <c r="A104" t="inlineStr">
        <is>
          <t>thanhquang3079#0</t>
        </is>
      </c>
      <c r="B104" t="inlineStr">
        <is>
          <t>1112222167879405620</t>
        </is>
      </c>
      <c r="C104" t="inlineStr">
        <is>
          <t>2025-11-09 04:36:56</t>
        </is>
      </c>
      <c r="D104">
        <f>HYPERLINK("https://x.com/quangtrnth17112/status/1986054611049070604?s=46", "https://x.com/quangtrnth17112/status/1986054611049070604?s=46")</f>
        <v/>
      </c>
    </row>
    <row r="105">
      <c r="A105" t="inlineStr">
        <is>
          <t>x.boog#0</t>
        </is>
      </c>
      <c r="B105" t="inlineStr">
        <is>
          <t>1290245410014892042</t>
        </is>
      </c>
      <c r="C105" t="inlineStr">
        <is>
          <t>2025-11-09 05:07:24</t>
        </is>
      </c>
      <c r="D105">
        <f>HYPERLINK("https://x.com/funkpoppin50443/status/1986785096381464831?s=46", "https://x.com/funkpoppin50443/status/1986785096381464831?s=46")</f>
        <v/>
      </c>
    </row>
    <row r="106">
      <c r="A106" t="inlineStr">
        <is>
          <t>clairr69#0</t>
        </is>
      </c>
      <c r="B106" t="inlineStr">
        <is>
          <t>1031736618635247666</t>
        </is>
      </c>
      <c r="C106" t="inlineStr">
        <is>
          <t>2025-11-09 05:11:03</t>
        </is>
      </c>
      <c r="D106">
        <f>HYPERLINK("https://x.com/clairrr69/status/1987341633311137969?s=46", "https://x.com/clairrr69/status/1987341633311137969?s=46")</f>
        <v/>
      </c>
    </row>
    <row r="107">
      <c r="A107" t="inlineStr">
        <is>
          <t>amakusa6030#0</t>
        </is>
      </c>
      <c r="B107" t="inlineStr">
        <is>
          <t>863068313898319902</t>
        </is>
      </c>
      <c r="C107" t="inlineStr">
        <is>
          <t>2025-11-09 05:15:48</t>
        </is>
      </c>
      <c r="D107">
        <f>HYPERLINK("https://x.com/FinnNguyenMCI/status/1987343191583175085", "https://x.com/FinnNguyenMCI/status/1987343191583175085")</f>
        <v/>
      </c>
    </row>
    <row r="108">
      <c r="A108" t="inlineStr">
        <is>
          <t>dian_vj#0</t>
        </is>
      </c>
      <c r="B108" t="inlineStr">
        <is>
          <t>940101812625739786</t>
        </is>
      </c>
      <c r="C108" t="inlineStr">
        <is>
          <t>2025-11-09 05:18:22</t>
        </is>
      </c>
      <c r="D108">
        <f>HYPERLINK("https://x.com/DianytPremium/status/1987343579535364319?t=Ca_btLtUlYHjkA2VVSXroA&amp;s=19", "https://x.com/DianytPremium/status/1987343579535364319?t=Ca_btLtUlYHjkA2VVSXroA&amp;s=19")</f>
        <v/>
      </c>
    </row>
    <row r="109">
      <c r="A109" t="inlineStr">
        <is>
          <t>mbahz#0</t>
        </is>
      </c>
      <c r="B109" t="inlineStr">
        <is>
          <t>1133957449309769808</t>
        </is>
      </c>
      <c r="C109" t="inlineStr">
        <is>
          <t>2025-11-09 05:23:12</t>
        </is>
      </c>
      <c r="D109">
        <f>HYPERLINK("https://x.com/mbahz_/status/1987345040788930769?t=ky8z47OGlN_LWIINdZteAg&amp;s=19", "https://x.com/mbahz_/status/1987345040788930769?t=ky8z47OGlN_LWIINdZteAg&amp;s=19")</f>
        <v/>
      </c>
    </row>
    <row r="110">
      <c r="A110" t="inlineStr">
        <is>
          <t>ry0nx1#0</t>
        </is>
      </c>
      <c r="B110" t="inlineStr">
        <is>
          <t>831395246146977823</t>
        </is>
      </c>
      <c r="C110" t="inlineStr">
        <is>
          <t>2025-11-09 05:30:41</t>
        </is>
      </c>
      <c r="D110">
        <f>HYPERLINK("https://x.com/MrRy0n/status/1987347021720916090?s=20", "https://x.com/MrRy0n/status/1987347021720916090?s=20")</f>
        <v/>
      </c>
    </row>
    <row r="111">
      <c r="A111" t="inlineStr">
        <is>
          <t>udynudyn#0</t>
        </is>
      </c>
      <c r="B111" t="inlineStr">
        <is>
          <t>1269666683379912755</t>
        </is>
      </c>
      <c r="C111" t="inlineStr">
        <is>
          <t>2025-11-09 05:55:10</t>
        </is>
      </c>
      <c r="D111">
        <f>HYPERLINK("https://x.com/moneyfestf/status/1987353120763224145?s=46", "https://x.com/moneyfestf/status/1987353120763224145?s=46")</f>
        <v/>
      </c>
    </row>
    <row r="112">
      <c r="A112" t="inlineStr">
        <is>
          <t>wenwen09324#0</t>
        </is>
      </c>
      <c r="B112" t="inlineStr">
        <is>
          <t>1112920334539177994</t>
        </is>
      </c>
      <c r="C112" t="inlineStr">
        <is>
          <t>2025-11-09 06:02:02</t>
        </is>
      </c>
      <c r="D112">
        <f>HYPERLINK("https://x.com/RWenwenwen/status/1987354904227156210?s=20", "https://x.com/RWenwenwen/status/1987354904227156210?s=20")</f>
        <v/>
      </c>
    </row>
    <row r="113">
      <c r="A113" t="inlineStr">
        <is>
          <t>hieunguyen1989.eth#0</t>
        </is>
      </c>
      <c r="B113" t="inlineStr">
        <is>
          <t>835960531364872252</t>
        </is>
      </c>
      <c r="C113" t="inlineStr">
        <is>
          <t>2025-11-09 06:08:07</t>
        </is>
      </c>
      <c r="D113">
        <f>HYPERLINK("https://x.com/hieu06730313/status/1987356314113360295?s=20", "https://x.com/hieu06730313/status/1987356314113360295?s=20")</f>
        <v/>
      </c>
    </row>
    <row r="114">
      <c r="A114" t="inlineStr">
        <is>
          <t>devtimmy#0</t>
        </is>
      </c>
      <c r="B114" t="inlineStr">
        <is>
          <t>1091767512892461137</t>
        </is>
      </c>
      <c r="C114" t="inlineStr">
        <is>
          <t>2025-11-09 06:08:22</t>
        </is>
      </c>
      <c r="D114">
        <f>HYPERLINK("https://x.com/_devTimmy/status/1987350268502020217", "https://x.com/_devTimmy/status/1987350268502020217")</f>
        <v/>
      </c>
    </row>
    <row r="115">
      <c r="A115" t="inlineStr">
        <is>
          <t>inkaxyz#0</t>
        </is>
      </c>
      <c r="B115" t="inlineStr">
        <is>
          <t>959844528079142924</t>
        </is>
      </c>
      <c r="C115" t="inlineStr">
        <is>
          <t>2025-11-09 06:52:01</t>
        </is>
      </c>
      <c r="D115">
        <f>HYPERLINK("https://x.com/inkaxyz/status/1987367405312745612", "https://x.com/inkaxyz/status/1987367405312745612")</f>
        <v/>
      </c>
    </row>
    <row r="116">
      <c r="A116" t="inlineStr">
        <is>
          <t>good_lyer#0</t>
        </is>
      </c>
      <c r="B116" t="inlineStr">
        <is>
          <t>1356639616685310002</t>
        </is>
      </c>
      <c r="C116" t="inlineStr">
        <is>
          <t>2025-11-09 07:04:16</t>
        </is>
      </c>
      <c r="D116">
        <f>HYPERLINK("https://x.com/Good_lyer/status/1986695700013588863", "https://x.com/Good_lyer/status/1986695700013588863")</f>
        <v/>
      </c>
    </row>
    <row r="117">
      <c r="A117" t="inlineStr">
        <is>
          <t>tahamohamedata#0</t>
        </is>
      </c>
      <c r="B117" t="inlineStr">
        <is>
          <t>1353293366829256774</t>
        </is>
      </c>
      <c r="C117" t="inlineStr">
        <is>
          <t>2025-11-09 07:09:34</t>
        </is>
      </c>
      <c r="D117">
        <f>HYPERLINK("https://x.com/TAHAMOHAMEDATA/status/1987371582793392175?s=20", "https://x.com/TAHAMOHAMEDATA/status/1987371582793392175?s=20")</f>
        <v/>
      </c>
    </row>
    <row r="118">
      <c r="A118" t="inlineStr">
        <is>
          <t>galuh0162#0</t>
        </is>
      </c>
      <c r="B118" t="inlineStr">
        <is>
          <t>1235323570473795689</t>
        </is>
      </c>
      <c r="C118" t="inlineStr">
        <is>
          <t>2025-11-09 07:11:23</t>
        </is>
      </c>
      <c r="D118">
        <f>HYPERLINK("https://x.com/Galuh1550997/status/1987372301881647193?s=20", "https://x.com/Galuh1550997/status/1987372301881647193?s=20")</f>
        <v/>
      </c>
    </row>
    <row r="119">
      <c r="A119" t="inlineStr">
        <is>
          <t>aska0x#0</t>
        </is>
      </c>
      <c r="B119" t="inlineStr">
        <is>
          <t>1372844035433172992</t>
        </is>
      </c>
      <c r="C119" t="inlineStr">
        <is>
          <t>2025-11-09 07:17:24</t>
        </is>
      </c>
      <c r="D119">
        <f>HYPERLINK("https://x.com/Aska0x/status/1987373107339001912?t=zBZLcxV8Fi24Sh1w1X_ocw&amp;s=19", "https://x.com/Aska0x/status/1987373107339001912?t=zBZLcxV8Fi24Sh1w1X_ocw&amp;s=19")</f>
        <v/>
      </c>
    </row>
    <row r="120">
      <c r="A120" t="inlineStr">
        <is>
          <t>t.nhan1230#0</t>
        </is>
      </c>
      <c r="B120" t="inlineStr">
        <is>
          <t>1284625808140537868</t>
        </is>
      </c>
      <c r="C120" t="inlineStr">
        <is>
          <t>2025-11-09 07:28:24</t>
        </is>
      </c>
      <c r="D120">
        <f>HYPERLINK("https://x.com/nhan1501200/status/1987376425025085879?s=46", "https://x.com/nhan1501200/status/1987376425025085879?s=46")</f>
        <v/>
      </c>
    </row>
    <row r="121">
      <c r="A121" t="inlineStr">
        <is>
          <t>hinz5522#0</t>
        </is>
      </c>
      <c r="B121" t="inlineStr">
        <is>
          <t>668435160492146737</t>
        </is>
      </c>
      <c r="C121" t="inlineStr">
        <is>
          <t>2025-11-09 07:29:41</t>
        </is>
      </c>
      <c r="D121">
        <f>HYPERLINK("https://x.com/Hinz5522/status/1987376753208443250", "https://x.com/Hinz5522/status/1987376753208443250")</f>
        <v/>
      </c>
    </row>
    <row r="122">
      <c r="A122" t="inlineStr">
        <is>
          <t>forever313zz#0</t>
        </is>
      </c>
      <c r="B122" t="inlineStr">
        <is>
          <t>644745802727817227</t>
        </is>
      </c>
      <c r="C122" t="inlineStr">
        <is>
          <t>2025-11-09 07:31:05</t>
        </is>
      </c>
      <c r="D122">
        <f>HYPERLINK("https://x.com/YouNowMe7/status/1987377102694543736?s=20", "https://x.com/YouNowMe7/status/1987377102694543736?s=20")</f>
        <v/>
      </c>
    </row>
    <row r="123">
      <c r="A123" t="inlineStr">
        <is>
          <t>dmitry_mano#0</t>
        </is>
      </c>
      <c r="B123" t="inlineStr">
        <is>
          <t>627419976919154698</t>
        </is>
      </c>
      <c r="C123" t="inlineStr">
        <is>
          <t>2025-11-09 07:46:34</t>
        </is>
      </c>
      <c r="D123">
        <f>HYPERLINK("https://x.com/dmitry_mano/status/1987381189062082814?s=20", "https://x.com/dmitry_mano/status/1987381189062082814?s=20")</f>
        <v/>
      </c>
    </row>
    <row r="124">
      <c r="A124" t="inlineStr">
        <is>
          <t>mstfymhmdyn#0</t>
        </is>
      </c>
      <c r="B124" t="inlineStr">
        <is>
          <t>1336482940107886634</t>
        </is>
      </c>
      <c r="C124" t="inlineStr">
        <is>
          <t>2025-11-09 07:46:43</t>
        </is>
      </c>
      <c r="D124">
        <f>HYPERLINK("https://x.com/BAF8DEDY/status/1987374179092480325", "https://x.com/BAF8DEDY/status/1987374179092480325")</f>
        <v/>
      </c>
    </row>
    <row r="125">
      <c r="A125" t="inlineStr">
        <is>
          <t>bademenn#0</t>
        </is>
      </c>
      <c r="B125" t="inlineStr">
        <is>
          <t>519569547846746127</t>
        </is>
      </c>
      <c r="C125" t="inlineStr">
        <is>
          <t>2025-11-09 08:06:49</t>
        </is>
      </c>
      <c r="D125">
        <f>HYPERLINK("https://x.com/awiblanco/status/1987384840208175170?t=8dJ33rVkR3lK8oSy8Pxlvg&amp;s=19", "https://x.com/awiblanco/status/1987384840208175170?t=8dJ33rVkR3lK8oSy8Pxlvg&amp;s=19")</f>
        <v/>
      </c>
    </row>
    <row r="126">
      <c r="A126" t="inlineStr">
        <is>
          <t>lilian_371#0</t>
        </is>
      </c>
      <c r="B126" t="inlineStr">
        <is>
          <t>939219013072977990</t>
        </is>
      </c>
      <c r="C126" t="inlineStr">
        <is>
          <t>2025-11-09 08:19:42</t>
        </is>
      </c>
      <c r="D126">
        <f>HYPERLINK("https://x.com/lilian_371/status/1987018524334657708?t=ZEZpdiGoGmtlMFI8Nl512A&amp;s=19", "https://x.com/lilian_371/status/1987018524334657708?t=ZEZpdiGoGmtlMFI8Nl512A&amp;s=19")</f>
        <v/>
      </c>
    </row>
    <row r="127">
      <c r="A127" t="inlineStr">
        <is>
          <t>maskenar31#0</t>
        </is>
      </c>
      <c r="B127" t="inlineStr">
        <is>
          <t>1225352033528189021</t>
        </is>
      </c>
      <c r="C127" t="inlineStr">
        <is>
          <t>2025-11-09 08:31:28</t>
        </is>
      </c>
      <c r="D127">
        <f>HYPERLINK("https://x.com/ArdyKentung/status/1987392460658770150", "https://x.com/ArdyKentung/status/1987392460658770150")</f>
        <v/>
      </c>
    </row>
    <row r="128">
      <c r="A128" t="inlineStr">
        <is>
          <t>wnanta#0</t>
        </is>
      </c>
      <c r="B128" t="inlineStr">
        <is>
          <t>1137292869846175865</t>
        </is>
      </c>
      <c r="C128" t="inlineStr">
        <is>
          <t>2025-11-09 08:40:12</t>
        </is>
      </c>
      <c r="D128">
        <f>HYPERLINK("https://x.com/0xWnanta/status/1987394564613939404?s=20", "https://x.com/0xWnanta/status/1987394564613939404?s=20")</f>
        <v/>
      </c>
    </row>
    <row r="129">
      <c r="A129" t="inlineStr">
        <is>
          <t>long70119#0</t>
        </is>
      </c>
      <c r="B129" t="inlineStr">
        <is>
          <t>1108001190651891792</t>
        </is>
      </c>
      <c r="C129" t="inlineStr">
        <is>
          <t>2025-11-09 09:00:07</t>
        </is>
      </c>
      <c r="D129">
        <f>HYPERLINK("https://x.com/0xryangang/status/1987399651390353437", "https://x.com/0xryangang/status/1987399651390353437")</f>
        <v/>
      </c>
    </row>
    <row r="130">
      <c r="A130" t="inlineStr">
        <is>
          <t>al_7790#0</t>
        </is>
      </c>
      <c r="B130" t="inlineStr">
        <is>
          <t>1365208242564890676</t>
        </is>
      </c>
      <c r="C130" t="inlineStr">
        <is>
          <t>2025-11-09 09:09:31</t>
        </is>
      </c>
      <c r="D130">
        <f>HYPERLINK("https://x.com/aall_212121/status/1987401855086043156", "https://x.com/aall_212121/status/1987401855086043156")</f>
        <v/>
      </c>
    </row>
    <row r="131">
      <c r="A131" t="inlineStr">
        <is>
          <t>nabee.oo#0</t>
        </is>
      </c>
      <c r="B131" t="inlineStr">
        <is>
          <t>1347217115433799721</t>
        </is>
      </c>
      <c r="C131" t="inlineStr">
        <is>
          <t>2025-11-09 09:13:33</t>
        </is>
      </c>
      <c r="D131">
        <f>HYPERLINK("https://x.com/Vovovovok/status/1987403073460052323?s=20", "https://x.com/Vovovovok/status/1987403073460052323?s=20")</f>
        <v/>
      </c>
    </row>
    <row r="132">
      <c r="A132" t="inlineStr">
        <is>
          <t>kingkiss#0</t>
        </is>
      </c>
      <c r="B132" t="inlineStr">
        <is>
          <t>1032881026504085517</t>
        </is>
      </c>
      <c r="C132" t="inlineStr">
        <is>
          <t>2025-11-09 09:13:35</t>
        </is>
      </c>
      <c r="D132">
        <f>HYPERLINK("https://x.com/kingzw888/status/1987402917830365488", "https://x.com/kingzw888/status/1987402917830365488")</f>
        <v/>
      </c>
    </row>
    <row r="133">
      <c r="A133" t="inlineStr">
        <is>
          <t>adarsh72559#0</t>
        </is>
      </c>
      <c r="B133" t="inlineStr">
        <is>
          <t>1225501978659131422</t>
        </is>
      </c>
      <c r="C133" t="inlineStr">
        <is>
          <t>2025-11-09 09:20:59</t>
        </is>
      </c>
      <c r="D133">
        <f>HYPERLINK("https://x.com/Adarsh3057/status/1987404658940535019?t=HkTriir8Kh6FAIiQUgpn2Q&amp;s=19", "https://x.com/Adarsh3057/status/1987404658940535019?t=HkTriir8Kh6FAIiQUgpn2Q&amp;s=19")</f>
        <v/>
      </c>
    </row>
    <row r="134">
      <c r="A134" t="inlineStr">
        <is>
          <t>katerina2795#0</t>
        </is>
      </c>
      <c r="B134" t="inlineStr">
        <is>
          <t>958821335247757372</t>
        </is>
      </c>
      <c r="C134" t="inlineStr">
        <is>
          <t>2025-11-09 09:21:38</t>
        </is>
      </c>
      <c r="D134">
        <f>HYPERLINK("https://x.com/luckywhale23/status/1987405106892185885?s=20", "https://x.com/luckywhale23/status/1987405106892185885?s=20")</f>
        <v/>
      </c>
    </row>
    <row r="135">
      <c r="A135" t="inlineStr">
        <is>
          <t>jamppp.#0</t>
        </is>
      </c>
      <c r="B135" t="inlineStr">
        <is>
          <t>1253212904476381268</t>
        </is>
      </c>
      <c r="C135" t="inlineStr">
        <is>
          <t>2025-11-09 09:22:31</t>
        </is>
      </c>
      <c r="D135">
        <f>HYPERLINK("https://x.com/0xjamp/status/1987405240296223155?s=46", "https://x.com/0xjamp/status/1987405240296223155?s=46")</f>
        <v/>
      </c>
    </row>
    <row r="136">
      <c r="A136" t="inlineStr">
        <is>
          <t>sukunkante#0</t>
        </is>
      </c>
      <c r="B136" t="inlineStr">
        <is>
          <t>1151794658586931251</t>
        </is>
      </c>
      <c r="C136" t="inlineStr">
        <is>
          <t>2025-11-09 09:22:47</t>
        </is>
      </c>
      <c r="D136">
        <f>HYPERLINK("https://x.com/sukunkante/status/1987405332935811096", "https://x.com/sukunkante/status/1987405332935811096")</f>
        <v/>
      </c>
    </row>
    <row r="137">
      <c r="A137" t="inlineStr">
        <is>
          <t>_uyislim#0</t>
        </is>
      </c>
      <c r="B137" t="inlineStr">
        <is>
          <t>1113942211629944863</t>
        </is>
      </c>
      <c r="C137" t="inlineStr">
        <is>
          <t>2025-11-09 09:26:04</t>
        </is>
      </c>
      <c r="D137">
        <f>HYPERLINK("https://x.com/justuyi_/status/1987406167660962008", "https://x.com/justuyi_/status/1987406167660962008")</f>
        <v/>
      </c>
    </row>
    <row r="138">
      <c r="A138" t="inlineStr">
        <is>
          <t>mr.lonl3ly38#0</t>
        </is>
      </c>
      <c r="B138" t="inlineStr">
        <is>
          <t>1214971982102138922</t>
        </is>
      </c>
      <c r="C138" t="inlineStr">
        <is>
          <t>2025-11-09 09:31:10</t>
        </is>
      </c>
      <c r="D138">
        <f>HYPERLINK("https://x.com/Lon3ly38/status/1987407496169071102?s=20", "https://x.com/Lon3ly38/status/1987407496169071102?s=20")</f>
        <v/>
      </c>
    </row>
    <row r="139">
      <c r="A139" t="inlineStr">
        <is>
          <t>stonegaze08#0</t>
        </is>
      </c>
      <c r="B139" t="inlineStr">
        <is>
          <t>519804230605733891</t>
        </is>
      </c>
      <c r="C139" t="inlineStr">
        <is>
          <t>2025-11-09 09:42:30</t>
        </is>
      </c>
      <c r="D139">
        <f>HYPERLINK("https://x.com/stone_gaze08/status/1987410077989675023", "https://x.com/stone_gaze08/status/1987410077989675023")</f>
        <v/>
      </c>
    </row>
    <row r="140">
      <c r="A140" t="inlineStr">
        <is>
          <t>rep0302#0</t>
        </is>
      </c>
      <c r="B140" t="inlineStr">
        <is>
          <t>1253674127173357622</t>
        </is>
      </c>
      <c r="C140" t="inlineStr">
        <is>
          <t>2025-11-09 09:42:52</t>
        </is>
      </c>
      <c r="D140">
        <f>HYPERLINK("https://x.com/0xrepz/status/1987410348081807746?t=SOzp0QB-HKg-BUko0j0uew&amp;s=19", "https://x.com/0xrepz/status/1987410348081807746?t=SOzp0QB-HKg-BUko0j0uew&amp;s=19")</f>
        <v/>
      </c>
    </row>
    <row r="141">
      <c r="A141" t="inlineStr">
        <is>
          <t>mbit7817#0</t>
        </is>
      </c>
      <c r="B141" t="inlineStr">
        <is>
          <t>695284722431033346</t>
        </is>
      </c>
      <c r="C141" t="inlineStr">
        <is>
          <t>2025-11-09 09:48:12</t>
        </is>
      </c>
      <c r="D141">
        <f>HYPERLINK("https://x.com/mbitmbitmbit/status/1987411770051641793?t=ncAY7o_lqdeKm8YBZYWSzw&amp;s=19", "https://x.com/mbitmbitmbit/status/1987411770051641793?t=ncAY7o_lqdeKm8YBZYWSzw&amp;s=19")</f>
        <v/>
      </c>
    </row>
    <row r="142">
      <c r="A142" t="inlineStr">
        <is>
          <t>ragnaroksyur#0</t>
        </is>
      </c>
      <c r="B142" t="inlineStr">
        <is>
          <t>870704329512857610</t>
        </is>
      </c>
      <c r="C142" t="inlineStr">
        <is>
          <t>2025-11-09 09:52:47</t>
        </is>
      </c>
      <c r="D142">
        <f>HYPERLINK("https://x.com/ragnarok0905/status/1987412891612721570?t=yHl1Hh4C0sn8ppIrsS27Zg&amp;s=33", "https://x.com/ragnarok0905/status/1987412891612721570?t=yHl1Hh4C0sn8ppIrsS27Zg&amp;s=33")</f>
        <v/>
      </c>
    </row>
    <row r="143">
      <c r="A143" t="inlineStr">
        <is>
          <t>penguinn13#0</t>
        </is>
      </c>
      <c r="B143" t="inlineStr">
        <is>
          <t>427715629999587338</t>
        </is>
      </c>
      <c r="C143" t="inlineStr">
        <is>
          <t>2025-11-09 09:53:30</t>
        </is>
      </c>
      <c r="D143">
        <f>HYPERLINK("https://x.com/13penguinnn/status/1987412963981206012?s=46", "https://x.com/13penguinnn/status/1987412963981206012?s=46")</f>
        <v/>
      </c>
    </row>
    <row r="144">
      <c r="A144" t="inlineStr">
        <is>
          <t>onew9725#0</t>
        </is>
      </c>
      <c r="B144" t="inlineStr">
        <is>
          <t>689281905941544961</t>
        </is>
      </c>
      <c r="C144" t="inlineStr">
        <is>
          <t>2025-11-09 10:02:01</t>
        </is>
      </c>
      <c r="D144">
        <f>HYPERLINK("https://x.com/on4280293150045/status/1987415270181511279", "https://x.com/on4280293150045/status/1987415270181511279")</f>
        <v/>
      </c>
    </row>
    <row r="145">
      <c r="A145" t="inlineStr">
        <is>
          <t>zesty1203#0</t>
        </is>
      </c>
      <c r="B145" t="inlineStr">
        <is>
          <t>1399536797947789453</t>
        </is>
      </c>
      <c r="C145" t="inlineStr">
        <is>
          <t>2025-11-09 10:03:47</t>
        </is>
      </c>
      <c r="D145">
        <f>HYPERLINK("https://x.com/zesty1203/status/1987415702232571982?s=46", "https://x.com/zesty1203/status/1987415702232571982?s=46")</f>
        <v/>
      </c>
    </row>
    <row r="146">
      <c r="A146" t="inlineStr">
        <is>
          <t>kropz_#0</t>
        </is>
      </c>
      <c r="B146" t="inlineStr">
        <is>
          <t>864717600429047818</t>
        </is>
      </c>
      <c r="C146" t="inlineStr">
        <is>
          <t>2025-11-09 10:16:38</t>
        </is>
      </c>
      <c r="D146">
        <f>HYPERLINK("https://x.com/kropzzz/status/1987418743044272613", "https://x.com/kropzzz/status/1987418743044272613")</f>
        <v/>
      </c>
    </row>
    <row r="147">
      <c r="A147" t="inlineStr">
        <is>
          <t>nurhidayat#0</t>
        </is>
      </c>
      <c r="B147" t="inlineStr">
        <is>
          <t>970239447620808724</t>
        </is>
      </c>
      <c r="C147" t="inlineStr">
        <is>
          <t>2025-11-09 10:20:03</t>
        </is>
      </c>
      <c r="D147">
        <f>HYPERLINK("https://x.com/dayatjaul/status/1987419831147315305?s=46", "https://x.com/dayatjaul/status/1987419831147315305?s=46")</f>
        <v/>
      </c>
    </row>
    <row r="148">
      <c r="A148" t="inlineStr">
        <is>
          <t>curcumbita#0</t>
        </is>
      </c>
      <c r="B148" t="inlineStr">
        <is>
          <t>936952855296872479</t>
        </is>
      </c>
      <c r="C148" t="inlineStr">
        <is>
          <t>2025-11-09 10:20:22</t>
        </is>
      </c>
      <c r="D148">
        <f>HYPERLINK("https://x.com/curcumbita/status/1987414392590246235", "https://x.com/curcumbita/status/1987414392590246235")</f>
        <v/>
      </c>
    </row>
    <row r="149">
      <c r="A149" t="inlineStr">
        <is>
          <t>georgewise9060#0</t>
        </is>
      </c>
      <c r="B149" t="inlineStr">
        <is>
          <t>904777612285583410</t>
        </is>
      </c>
      <c r="C149" t="inlineStr">
        <is>
          <t>2025-11-09 10:42:35</t>
        </is>
      </c>
      <c r="D149">
        <f>HYPERLINK("https://x.com/wizxon/status/1987425441334899160?t=LICOgzxlcxXMfvw4n2Whiw&amp;s=19", "https://x.com/wizxon/status/1987425441334899160?t=LICOgzxlcxXMfvw4n2Whiw&amp;s=19")</f>
        <v/>
      </c>
    </row>
    <row r="150">
      <c r="A150" t="inlineStr">
        <is>
          <t>supermasteen#0</t>
        </is>
      </c>
      <c r="B150" t="inlineStr">
        <is>
          <t>1210202570459582495</t>
        </is>
      </c>
      <c r="C150" t="inlineStr">
        <is>
          <t>2025-11-09 11:08:27</t>
        </is>
      </c>
      <c r="D150">
        <f>HYPERLINK("https://x.com/supermasteen/status/1987431664155570370?s=20", "https://x.com/supermasteen/status/1987431664155570370?s=20")</f>
        <v/>
      </c>
    </row>
    <row r="151">
      <c r="A151" t="inlineStr">
        <is>
          <t>raufpv_#0</t>
        </is>
      </c>
      <c r="B151" t="inlineStr">
        <is>
          <t>1337051142252658689</t>
        </is>
      </c>
      <c r="C151" t="inlineStr">
        <is>
          <t>2025-11-09 11:08:56</t>
        </is>
      </c>
      <c r="D151">
        <f>HYPERLINK("https://x.com/raupee_/status/1987431951192744173", "https://x.com/raupee_/status/1987431951192744173")</f>
        <v/>
      </c>
    </row>
    <row r="152">
      <c r="A152" t="inlineStr">
        <is>
          <t>gunz166#0</t>
        </is>
      </c>
      <c r="B152" t="inlineStr">
        <is>
          <t>993311070406062170</t>
        </is>
      </c>
      <c r="C152" t="inlineStr">
        <is>
          <t>2025-11-09 11:09:08</t>
        </is>
      </c>
      <c r="D152">
        <f>HYPERLINK("https://x.com/ervangillbert/status/1987431342238560678", "https://x.com/ervangillbert/status/1987431342238560678")</f>
        <v/>
      </c>
    </row>
    <row r="153">
      <c r="A153" t="inlineStr">
        <is>
          <t>ruizzzz99#0</t>
        </is>
      </c>
      <c r="B153" t="inlineStr">
        <is>
          <t>1322835620623552596</t>
        </is>
      </c>
      <c r="C153" t="inlineStr">
        <is>
          <t>2025-11-09 11:15:24</t>
        </is>
      </c>
      <c r="D153">
        <f>HYPERLINK("https://x.com/ruizz89926/status/1987433619963715786?t=P-wwWwLxzdfeQD_n0ABteQ&amp;s=19", "https://x.com/ruizz89926/status/1987433619963715786?t=P-wwWwLxzdfeQD_n0ABteQ&amp;s=19")</f>
        <v/>
      </c>
    </row>
    <row r="154">
      <c r="A154" t="inlineStr">
        <is>
          <t>dawn_tiler#0</t>
        </is>
      </c>
      <c r="B154" t="inlineStr">
        <is>
          <t>1201894160206921810</t>
        </is>
      </c>
      <c r="C154" t="inlineStr">
        <is>
          <t>2025-11-09 11:18:06</t>
        </is>
      </c>
      <c r="D154">
        <f>HYPERLINK("https://x.com/thescret_01/status/1987434481620570257?s=20", "https://x.com/thescret_01/status/1987434481620570257?s=20")</f>
        <v/>
      </c>
    </row>
    <row r="155">
      <c r="A155" t="inlineStr">
        <is>
          <t>astator_y#0</t>
        </is>
      </c>
      <c r="B155" t="inlineStr">
        <is>
          <t>1317513914967134218</t>
        </is>
      </c>
      <c r="C155" t="inlineStr">
        <is>
          <t>2025-11-09 11:22:08</t>
        </is>
      </c>
      <c r="D155">
        <f>HYPERLINK("https://x.com/look19824709/status/1987435296577974583?s=20", "https://x.com/look19824709/status/1987435296577974583?s=20")</f>
        <v/>
      </c>
    </row>
    <row r="156">
      <c r="A156" t="inlineStr">
        <is>
          <t>caesardinh#0</t>
        </is>
      </c>
      <c r="B156" t="inlineStr">
        <is>
          <t>986539370804805645</t>
        </is>
      </c>
      <c r="C156" t="inlineStr">
        <is>
          <t>2025-11-09 11:28:10</t>
        </is>
      </c>
      <c r="D156">
        <f>HYPERLINK("https://x.com/caesar2904/status/1987436988249899412?s=46&amp;t=daZnVOZDmcu63dIWaAzufw", "https://x.com/caesar2904/status/1987436988249899412?s=46&amp;t=daZnVOZDmcu63dIWaAzufw")</f>
        <v/>
      </c>
    </row>
    <row r="157">
      <c r="A157" t="inlineStr">
        <is>
          <t>ndrakahaya#0</t>
        </is>
      </c>
      <c r="B157" t="inlineStr">
        <is>
          <t>342726529769406465</t>
        </is>
      </c>
      <c r="C157" t="inlineStr">
        <is>
          <t>2025-11-09 11:30:11</t>
        </is>
      </c>
      <c r="D157">
        <f>HYPERLINK("https://x.com/ndrakahaya/status/1987437395747422473?s=46", "https://x.com/ndrakahaya/status/1987437395747422473?s=46")</f>
        <v/>
      </c>
    </row>
    <row r="158">
      <c r="A158" t="inlineStr">
        <is>
          <t>lhealhea#0</t>
        </is>
      </c>
      <c r="B158" t="inlineStr">
        <is>
          <t>854357118874025984</t>
        </is>
      </c>
      <c r="C158" t="inlineStr">
        <is>
          <t>2025-11-09 11:31:00</t>
        </is>
      </c>
      <c r="D158">
        <f>HYPERLINK("https://x.com/Lh3aa/status/1987437539222024275?t=_71wwgtMEdrxcViLGpPJBQ&amp;s=19", "https://x.com/Lh3aa/status/1987437539222024275?t=_71wwgtMEdrxcViLGpPJBQ&amp;s=19")</f>
        <v/>
      </c>
    </row>
    <row r="159">
      <c r="A159" t="inlineStr">
        <is>
          <t>web300fa#0</t>
        </is>
      </c>
      <c r="B159" t="inlineStr">
        <is>
          <t>886121783596572693</t>
        </is>
      </c>
      <c r="C159" t="inlineStr">
        <is>
          <t>2025-11-09 11:31:02</t>
        </is>
      </c>
      <c r="D159">
        <f>HYPERLINK("https://x.com/Web300fa/status/1987437732940190174?s=20", "https://x.com/Web300fa/status/1987437732940190174?s=20")</f>
        <v/>
      </c>
    </row>
    <row r="160">
      <c r="A160" t="inlineStr">
        <is>
          <t>.y96#0</t>
        </is>
      </c>
      <c r="B160" t="inlineStr">
        <is>
          <t>427255097869729803</t>
        </is>
      </c>
      <c r="C160" t="inlineStr">
        <is>
          <t>2025-11-09 11:32:45</t>
        </is>
      </c>
      <c r="D160">
        <f>HYPERLINK("https://x.com/yasinhusni1/status/1987437913383284736", "https://x.com/yasinhusni1/status/1987437913383284736")</f>
        <v/>
      </c>
    </row>
    <row r="161">
      <c r="A161" t="inlineStr">
        <is>
          <t>tomcatcatt#0</t>
        </is>
      </c>
      <c r="B161" t="inlineStr">
        <is>
          <t>650704355334422578</t>
        </is>
      </c>
      <c r="C161" t="inlineStr">
        <is>
          <t>2025-11-09 11:33:32</t>
        </is>
      </c>
      <c r="D161">
        <f>HYPERLINK("https://x.com/tomcatcatt/status/1987438086016684403?s=46", "https://x.com/tomcatcatt/status/1987438086016684403?s=46")</f>
        <v/>
      </c>
    </row>
    <row r="162">
      <c r="A162" t="inlineStr">
        <is>
          <t>samirsystemeyogapetz#0</t>
        </is>
      </c>
      <c r="B162" t="inlineStr">
        <is>
          <t>978064897755717722</t>
        </is>
      </c>
      <c r="C162" t="inlineStr">
        <is>
          <t>2025-11-09 11:34:11</t>
        </is>
      </c>
      <c r="D162">
        <f>HYPERLINK("https://x.com/SamirSysteme/status/1987438317650968939?s=19", "https://x.com/SamirSysteme/status/1987438317650968939?s=19")</f>
        <v/>
      </c>
    </row>
    <row r="163">
      <c r="A163" t="inlineStr">
        <is>
          <t>harix_137#0</t>
        </is>
      </c>
      <c r="B163" t="inlineStr">
        <is>
          <t>1214559654378733588</t>
        </is>
      </c>
      <c r="C163" t="inlineStr">
        <is>
          <t>2025-11-09 11:35:08</t>
        </is>
      </c>
      <c r="D163">
        <f>HYPERLINK("https://x.com/iam_hariX/status/1987438327562473843", "https://x.com/iam_hariX/status/1987438327562473843")</f>
        <v/>
      </c>
    </row>
    <row r="164">
      <c r="A164" t="inlineStr">
        <is>
          <t>cryptonaire1#0</t>
        </is>
      </c>
      <c r="B164" t="inlineStr">
        <is>
          <t>1202816187092832298</t>
        </is>
      </c>
      <c r="C164" t="inlineStr">
        <is>
          <t>2025-11-09 11:35:12</t>
        </is>
      </c>
      <c r="D164">
        <f>HYPERLINK("https://x.com/Kay_Airdrop/status/1987437639377547531", "https://x.com/Kay_Airdrop/status/1987437639377547531")</f>
        <v/>
      </c>
    </row>
    <row r="165">
      <c r="A165" t="inlineStr">
        <is>
          <t>nancy_fiend#0</t>
        </is>
      </c>
      <c r="B165" t="inlineStr">
        <is>
          <t>1228706251425190010</t>
        </is>
      </c>
      <c r="C165" t="inlineStr">
        <is>
          <t>2025-11-09 11:35:36</t>
        </is>
      </c>
      <c r="D165">
        <f>HYPERLINK("https://x.com/nancy_fiend/status/1987438817301921944?s=20", "https://x.com/nancy_fiend/status/1987438817301921944?s=20")</f>
        <v/>
      </c>
    </row>
    <row r="166">
      <c r="A166" t="inlineStr">
        <is>
          <t>fantaixi0896_09099#0</t>
        </is>
      </c>
      <c r="B166" t="inlineStr">
        <is>
          <t>1281064677974999124</t>
        </is>
      </c>
      <c r="C166" t="inlineStr">
        <is>
          <t>2025-11-09 11:37:02</t>
        </is>
      </c>
      <c r="D166">
        <f>HYPERLINK("https://x.com/TaiXi89169/status/1987439218428424308?t=0_JL9HFewL__lAOeGpvvnA&amp;s=19", "https://x.com/TaiXi89169/status/1987439218428424308?t=0_JL9HFewL__lAOeGpvvnA&amp;s=19")</f>
        <v/>
      </c>
    </row>
    <row r="167">
      <c r="A167" t="inlineStr">
        <is>
          <t>yin5245#0</t>
        </is>
      </c>
      <c r="B167" t="inlineStr">
        <is>
          <t>847396774422380575</t>
        </is>
      </c>
      <c r="C167" t="inlineStr">
        <is>
          <t>2025-11-09 11:40:18</t>
        </is>
      </c>
      <c r="D167">
        <f>HYPERLINK("https://x.com/yin5245/status/1987439765931651440?s=46", "https://x.com/yin5245/status/1987439765931651440?s=46")</f>
        <v/>
      </c>
    </row>
    <row r="168">
      <c r="A168" t="inlineStr">
        <is>
          <t>kittz76#0</t>
        </is>
      </c>
      <c r="B168" t="inlineStr">
        <is>
          <t>430310387460603905</t>
        </is>
      </c>
      <c r="C168" t="inlineStr">
        <is>
          <t>2025-11-09 11:41:35</t>
        </is>
      </c>
      <c r="D168">
        <f>HYPERLINK("https://x.com/kittzz76/status/1987439264402214959?s=46", "https://x.com/kittzz76/status/1987439264402214959?s=46")</f>
        <v/>
      </c>
    </row>
    <row r="169">
      <c r="A169" t="inlineStr">
        <is>
          <t>jax5934#0</t>
        </is>
      </c>
      <c r="B169" t="inlineStr">
        <is>
          <t>853170473160015883</t>
        </is>
      </c>
      <c r="C169" t="inlineStr">
        <is>
          <t>2025-11-09 11:48:18</t>
        </is>
      </c>
      <c r="D169">
        <f>HYPERLINK("https://x.com/bai_ai25493/status/1987441997771051459?s=20", "https://x.com/bai_ai25493/status/1987441997771051459?s=20")</f>
        <v/>
      </c>
    </row>
    <row r="170">
      <c r="A170" t="inlineStr">
        <is>
          <t>bunny_gold_#0</t>
        </is>
      </c>
      <c r="B170" t="inlineStr">
        <is>
          <t>1220932060819095562</t>
        </is>
      </c>
      <c r="C170" t="inlineStr">
        <is>
          <t>2025-11-09 11:48:31</t>
        </is>
      </c>
      <c r="D170">
        <f>HYPERLINK("https://x.com/jelly_gold_95/status/1987441814216044718", "https://x.com/jelly_gold_95/status/1987441814216044718")</f>
        <v/>
      </c>
    </row>
    <row r="171">
      <c r="A171" t="inlineStr">
        <is>
          <t>printsessaintsesta#0</t>
        </is>
      </c>
      <c r="B171" t="inlineStr">
        <is>
          <t>290554713064341524</t>
        </is>
      </c>
      <c r="C171" t="inlineStr">
        <is>
          <t>2025-11-09 11:48:52</t>
        </is>
      </c>
      <c r="D171">
        <f>HYPERLINK("https://x.com/Sadnoboy616/status/1987442122560036905", "https://x.com/Sadnoboy616/status/1987442122560036905")</f>
        <v/>
      </c>
    </row>
    <row r="172">
      <c r="A172" t="inlineStr">
        <is>
          <t>abdulwasih29#0</t>
        </is>
      </c>
      <c r="B172" t="inlineStr">
        <is>
          <t>1094753484252905532</t>
        </is>
      </c>
      <c r="C172" t="inlineStr">
        <is>
          <t>2025-11-09 11:51:17</t>
        </is>
      </c>
      <c r="D172">
        <f>HYPERLINK("https://x.com/Abdulwasih01/status/1987273278897971484?s=20", "https://x.com/Abdulwasih01/status/1987273278897971484?s=20")</f>
        <v/>
      </c>
    </row>
    <row r="173">
      <c r="A173" t="inlineStr">
        <is>
          <t>bentabenti#0</t>
        </is>
      </c>
      <c r="B173" t="inlineStr">
        <is>
          <t>1247425183535333420</t>
        </is>
      </c>
      <c r="C173" t="inlineStr">
        <is>
          <t>2025-11-09 11:53:46</t>
        </is>
      </c>
      <c r="D173">
        <f>HYPERLINK("https://x.com/panggangirisan/status/1987443230443741332", "https://x.com/panggangirisan/status/1987443230443741332")</f>
        <v/>
      </c>
    </row>
    <row r="174">
      <c r="A174" t="inlineStr">
        <is>
          <t>androoomed#0</t>
        </is>
      </c>
      <c r="B174" t="inlineStr">
        <is>
          <t>832569848562974721</t>
        </is>
      </c>
      <c r="C174" t="inlineStr">
        <is>
          <t>2025-11-09 11:55:45</t>
        </is>
      </c>
      <c r="D174">
        <f>HYPERLINK("https://x.com/nexgen_office/status/1987443902832370003?s=46", "https://x.com/nexgen_office/status/1987443902832370003?s=46")</f>
        <v/>
      </c>
    </row>
    <row r="175">
      <c r="A175" t="inlineStr">
        <is>
          <t>saltcaramel2203#0</t>
        </is>
      </c>
      <c r="B175" t="inlineStr">
        <is>
          <t>1139795458722627685</t>
        </is>
      </c>
      <c r="C175" t="inlineStr">
        <is>
          <t>2025-11-09 11:56:34</t>
        </is>
      </c>
      <c r="D175">
        <f>HYPERLINK("https://x.com/SaltCarameelll/status/1987443963411009752?t=U_5oXZ1LPNqp--LJJPs_KA&amp;s=19", "https://x.com/SaltCarameelll/status/1987443963411009752?t=U_5oXZ1LPNqp--LJJPs_KA&amp;s=19")</f>
        <v/>
      </c>
    </row>
    <row r="176">
      <c r="A176" t="inlineStr">
        <is>
          <t>stary106#0</t>
        </is>
      </c>
      <c r="B176" t="inlineStr">
        <is>
          <t>1186732551818186814</t>
        </is>
      </c>
      <c r="C176" t="inlineStr">
        <is>
          <t>2025-11-09 11:57:00</t>
        </is>
      </c>
      <c r="D176">
        <f>HYPERLINK("https://x.com/EsanTobi2/status/1987443833945067558", "https://x.com/EsanTobi2/status/1987443833945067558")</f>
        <v/>
      </c>
    </row>
    <row r="177">
      <c r="A177" t="inlineStr">
        <is>
          <t>riart3003#0</t>
        </is>
      </c>
      <c r="B177" t="inlineStr">
        <is>
          <t>1062666330244911176</t>
        </is>
      </c>
      <c r="C177" t="inlineStr">
        <is>
          <t>2025-11-09 11:57:11</t>
        </is>
      </c>
      <c r="D177">
        <f>HYPERLINK("https://x.com/mohamad_fahri1/status/1987443844741570573?t=6ExS0Mwy49Hl7odpFA5XbQ&amp;s=19", "https://x.com/mohamad_fahri1/status/1987443844741570573?t=6ExS0Mwy49Hl7odpFA5XbQ&amp;s=19")</f>
        <v/>
      </c>
    </row>
    <row r="178">
      <c r="A178" t="inlineStr">
        <is>
          <t>dyortime#0</t>
        </is>
      </c>
      <c r="B178" t="inlineStr">
        <is>
          <t>897003279521812561</t>
        </is>
      </c>
      <c r="C178" t="inlineStr">
        <is>
          <t>2025-11-09 11:58:14</t>
        </is>
      </c>
      <c r="D178">
        <f>HYPERLINK("https://x.com/DyorTime/status/1987444389543575828?t=LbNqf8EEI9pyhA5cBK_UJQ&amp;s=19", "https://x.com/DyorTime/status/1987444389543575828?t=LbNqf8EEI9pyhA5cBK_UJQ&amp;s=19")</f>
        <v/>
      </c>
    </row>
    <row r="179">
      <c r="A179" t="inlineStr">
        <is>
          <t>justanyaaa1#0</t>
        </is>
      </c>
      <c r="B179" t="inlineStr">
        <is>
          <t>1323166948623913002</t>
        </is>
      </c>
      <c r="C179" t="inlineStr">
        <is>
          <t>2025-11-09 11:58:17</t>
        </is>
      </c>
      <c r="D179">
        <f>HYPERLINK("https://x.com/itsmeanyaaa7/status/1987444426449518686?s=46&amp;t=LPnHMAqEd5oYIZZLzshaRA", "https://x.com/itsmeanyaaa7/status/1987444426449518686?s=46&amp;t=LPnHMAqEd5oYIZZLzshaRA")</f>
        <v/>
      </c>
    </row>
    <row r="180">
      <c r="A180" t="inlineStr">
        <is>
          <t>kambingputih#0</t>
        </is>
      </c>
      <c r="B180" t="inlineStr">
        <is>
          <t>736946962011652098</t>
        </is>
      </c>
      <c r="C180" t="inlineStr">
        <is>
          <t>2025-11-09 11:58:20</t>
        </is>
      </c>
      <c r="D180">
        <f>HYPERLINK("https://x.com/LastButterfly21/status/1987444580237918719", "https://x.com/LastButterfly21/status/1987444580237918719")</f>
        <v/>
      </c>
    </row>
    <row r="181">
      <c r="A181" t="inlineStr">
        <is>
          <t>ntnghia1712#0</t>
        </is>
      </c>
      <c r="B181" t="inlineStr">
        <is>
          <t>505368690590744605</t>
        </is>
      </c>
      <c r="C181" t="inlineStr">
        <is>
          <t>2025-11-09 11:58:28</t>
        </is>
      </c>
      <c r="D181">
        <f>HYPERLINK("https://x.com/24nguyntrungng2/status/1987444633119703421?s=46", "https://x.com/24nguyntrungng2/status/1987444633119703421?s=46")</f>
        <v/>
      </c>
    </row>
    <row r="182">
      <c r="A182" t="inlineStr">
        <is>
          <t>pkkandwal#0</t>
        </is>
      </c>
      <c r="B182" t="inlineStr">
        <is>
          <t>1266751870207004782</t>
        </is>
      </c>
      <c r="C182" t="inlineStr">
        <is>
          <t>2025-11-09 11:58:59</t>
        </is>
      </c>
      <c r="D182">
        <f>HYPERLINK("https://x.com/domhales12/status/1987444726921056309", "https://x.com/domhales12/status/1987444726921056309")</f>
        <v/>
      </c>
    </row>
    <row r="183">
      <c r="A183" t="inlineStr">
        <is>
          <t>anzaaa#0</t>
        </is>
      </c>
      <c r="B183" t="inlineStr">
        <is>
          <t>717634958000259142</t>
        </is>
      </c>
      <c r="C183" t="inlineStr">
        <is>
          <t>2025-11-09 11:59:45</t>
        </is>
      </c>
      <c r="D183">
        <f>HYPERLINK("https://x.com/Aelynzaa/status/1987444935122104798", "https://x.com/Aelynzaa/status/1987444935122104798")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2025-11-15T15:01:56Z</dcterms:created>
  <dcterms:modified xsi:type="dcterms:W3CDTF">2025-11-15T15:01:56Z</dcterms:modified>
</cp:coreProperties>
</file>